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codeName="DieseArbeitsmappe"/>
  <mc:AlternateContent xmlns:mc="http://schemas.openxmlformats.org/markup-compatibility/2006">
    <mc:Choice Requires="x15">
      <x15ac:absPath xmlns:x15ac="http://schemas.microsoft.com/office/spreadsheetml/2010/11/ac" url="C:\Users\Qiqi\Downloads\########## Abgabe Doku\########## Abgabe Doku\"/>
    </mc:Choice>
  </mc:AlternateContent>
  <xr:revisionPtr revIDLastSave="0" documentId="13_ncr:1_{F83DF8F1-3DEB-49CC-9F75-D8629F87BA45}" xr6:coauthVersionLast="47" xr6:coauthVersionMax="47" xr10:uidLastSave="{00000000-0000-0000-0000-000000000000}"/>
  <bookViews>
    <workbookView xWindow="-108" yWindow="-108" windowWidth="23256" windowHeight="12576" xr2:uid="{00000000-000D-0000-FFFF-FFFF00000000}"/>
  </bookViews>
  <sheets>
    <sheet name="Anforderungsliste" sheetId="6" r:id="rId1"/>
    <sheet name="Projektplan" sheetId="1" r:id="rId2"/>
    <sheet name="Stückliste" sheetId="7" r:id="rId3"/>
    <sheet name="Info" sheetId="2" r:id="rId4"/>
  </sheets>
  <definedNames>
    <definedName name="FarbeA">#REF!</definedName>
    <definedName name="FarbeB">#REF!</definedName>
    <definedName name="FarbeC">#REF!</definedName>
    <definedName name="FarbeD">#REF!</definedName>
    <definedName name="FarbeE">#REF!</definedName>
  </definedNames>
  <calcPr calcId="18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B18" i="1" l="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17" i="1"/>
  <c r="G78" i="1"/>
  <c r="G53" i="1"/>
  <c r="G49" i="1"/>
  <c r="D10" i="1"/>
  <c r="G73" i="1"/>
  <c r="G74" i="1"/>
  <c r="G64" i="1"/>
  <c r="G69" i="1"/>
  <c r="G68" i="1"/>
  <c r="G67" i="1"/>
  <c r="G56" i="1"/>
  <c r="G55" i="1"/>
  <c r="G54" i="1"/>
  <c r="G66" i="1"/>
  <c r="G58" i="1"/>
  <c r="G40" i="1"/>
  <c r="G31" i="1"/>
  <c r="G26" i="1"/>
  <c r="G72" i="1"/>
  <c r="G52" i="1"/>
  <c r="G51" i="1"/>
  <c r="G50" i="1"/>
  <c r="G48" i="1"/>
  <c r="G47" i="1"/>
  <c r="G46" i="1"/>
  <c r="G45" i="1"/>
  <c r="G43" i="1"/>
  <c r="G44" i="1"/>
  <c r="G42" i="1"/>
  <c r="G41" i="1"/>
  <c r="G34" i="1"/>
  <c r="G35" i="1"/>
  <c r="G36" i="1"/>
  <c r="G37" i="1"/>
  <c r="G38" i="1"/>
  <c r="G39" i="1"/>
  <c r="G33" i="1"/>
  <c r="G32" i="1"/>
  <c r="G28" i="1"/>
  <c r="G29" i="1"/>
  <c r="G30" i="1"/>
  <c r="G25" i="1"/>
  <c r="G27" i="1"/>
  <c r="G71" i="1"/>
  <c r="G77" i="1"/>
  <c r="G76" i="1"/>
  <c r="G57" i="1"/>
  <c r="G59" i="1"/>
  <c r="G60" i="1"/>
  <c r="G61" i="1"/>
  <c r="G20" i="1"/>
  <c r="G23" i="1"/>
  <c r="G24" i="1"/>
  <c r="G21" i="1"/>
  <c r="G22" i="1"/>
  <c r="G18" i="1"/>
  <c r="G19" i="1"/>
  <c r="F15" i="1"/>
  <c r="G17" i="1"/>
  <c r="G16" i="1"/>
  <c r="M14" i="1"/>
  <c r="N14" i="1"/>
  <c r="G62" i="1"/>
  <c r="G63" i="1"/>
  <c r="G65" i="1"/>
  <c r="G70" i="1"/>
  <c r="M13" i="1"/>
  <c r="O14" i="1"/>
  <c r="N13" i="1"/>
  <c r="P14" i="1"/>
  <c r="O13" i="1"/>
  <c r="M10" i="1"/>
  <c r="M11" i="1"/>
  <c r="Q14" i="1"/>
  <c r="P13" i="1"/>
  <c r="Q13" i="1"/>
  <c r="R14" i="1"/>
  <c r="R13" i="1"/>
  <c r="S14" i="1"/>
  <c r="T14" i="1"/>
  <c r="S13" i="1"/>
  <c r="T13" i="1"/>
  <c r="U14" i="1"/>
  <c r="U13" i="1"/>
  <c r="V14" i="1"/>
  <c r="V13" i="1"/>
  <c r="W14" i="1"/>
  <c r="X14" i="1"/>
  <c r="W13" i="1"/>
  <c r="T10" i="1"/>
  <c r="T11" i="1"/>
  <c r="Y14" i="1"/>
  <c r="X13" i="1"/>
  <c r="Y13" i="1"/>
  <c r="Z14" i="1"/>
  <c r="Z13" i="1"/>
  <c r="AA14" i="1"/>
  <c r="AA13" i="1"/>
  <c r="AB14" i="1"/>
  <c r="AC14" i="1"/>
  <c r="AB13" i="1"/>
  <c r="AD14" i="1"/>
  <c r="AC13" i="1"/>
  <c r="AA10" i="1"/>
  <c r="AE14" i="1"/>
  <c r="AA11" i="1"/>
  <c r="AD13" i="1"/>
  <c r="AE13" i="1"/>
  <c r="AF14" i="1"/>
  <c r="AF13" i="1"/>
  <c r="AG14" i="1"/>
  <c r="AH14" i="1"/>
  <c r="AG13" i="1"/>
  <c r="AH13" i="1"/>
  <c r="AI14" i="1"/>
  <c r="AJ14" i="1"/>
  <c r="AI13" i="1"/>
  <c r="AK14" i="1"/>
  <c r="AJ13" i="1"/>
  <c r="AK13" i="1"/>
  <c r="AL14" i="1"/>
  <c r="AH11" i="1"/>
  <c r="AH10" i="1"/>
  <c r="AM14" i="1"/>
  <c r="AL13" i="1"/>
  <c r="AM13" i="1"/>
  <c r="AN14" i="1"/>
  <c r="AO14" i="1"/>
  <c r="AN13" i="1"/>
  <c r="AP14" i="1"/>
  <c r="AO13" i="1"/>
  <c r="AP13" i="1"/>
  <c r="AQ14" i="1"/>
  <c r="AQ13" i="1"/>
  <c r="AR14" i="1"/>
  <c r="AS14" i="1"/>
  <c r="AR13" i="1"/>
  <c r="AO10" i="1"/>
  <c r="AO11" i="1"/>
  <c r="AT14" i="1"/>
  <c r="AS13" i="1"/>
  <c r="AT13" i="1"/>
  <c r="AU14" i="1"/>
  <c r="AU13" i="1"/>
  <c r="AV14" i="1"/>
  <c r="AW14" i="1"/>
  <c r="AV13" i="1"/>
  <c r="AX14" i="1"/>
  <c r="AW13" i="1"/>
  <c r="AX13" i="1"/>
  <c r="AY14" i="1"/>
  <c r="AZ14" i="1"/>
  <c r="AV10" i="1"/>
  <c r="AY13" i="1"/>
  <c r="AV11" i="1"/>
  <c r="AZ13" i="1"/>
  <c r="BA14" i="1"/>
  <c r="BA13" i="1"/>
  <c r="BB14" i="1"/>
  <c r="BC14" i="1"/>
  <c r="BB13" i="1"/>
  <c r="BD14" i="1"/>
  <c r="BC13" i="1"/>
  <c r="BE14" i="1"/>
  <c r="BD13" i="1"/>
  <c r="BF14" i="1"/>
  <c r="BE13" i="1"/>
  <c r="BF13" i="1"/>
  <c r="BC10" i="1"/>
  <c r="BG14" i="1"/>
  <c r="BC11" i="1"/>
  <c r="BH14" i="1"/>
  <c r="BG13" i="1"/>
  <c r="BH13" i="1"/>
  <c r="BI14" i="1"/>
  <c r="BJ14" i="1"/>
  <c r="BI13" i="1"/>
  <c r="BJ13" i="1"/>
  <c r="BK14" i="1"/>
  <c r="BK13" i="1"/>
  <c r="BL14" i="1"/>
  <c r="BM14" i="1"/>
  <c r="BL13" i="1"/>
  <c r="BN14" i="1"/>
  <c r="BJ11" i="1"/>
  <c r="BJ10" i="1"/>
  <c r="BM13" i="1"/>
  <c r="BO14" i="1"/>
  <c r="BN13" i="1"/>
  <c r="BO13" i="1"/>
  <c r="BP14" i="1"/>
  <c r="BP13" i="1"/>
  <c r="BQ14" i="1"/>
  <c r="BR14" i="1"/>
  <c r="BQ13" i="1"/>
  <c r="BS14" i="1"/>
  <c r="BR13" i="1"/>
  <c r="BS13" i="1"/>
  <c r="BT14" i="1"/>
  <c r="BU14" i="1"/>
  <c r="BQ10" i="1"/>
  <c r="BQ11" i="1"/>
  <c r="BT13" i="1"/>
  <c r="BU13" i="1"/>
  <c r="BV14" i="1"/>
  <c r="BV13" i="1"/>
  <c r="BW14" i="1"/>
  <c r="BX14" i="1"/>
  <c r="BW13" i="1"/>
  <c r="BY14" i="1"/>
  <c r="BX13" i="1"/>
  <c r="BZ14" i="1"/>
  <c r="BY13" i="1"/>
  <c r="BZ13" i="1"/>
  <c r="CA14" i="1"/>
  <c r="CA13" i="1"/>
  <c r="CB14" i="1"/>
  <c r="BX11" i="1"/>
  <c r="BX10" i="1"/>
  <c r="CC14" i="1"/>
  <c r="CB13" i="1"/>
  <c r="CC13" i="1"/>
  <c r="CD14" i="1"/>
  <c r="CE14" i="1"/>
  <c r="CD13" i="1"/>
  <c r="CE13" i="1"/>
  <c r="CF14" i="1"/>
  <c r="CF13" i="1"/>
  <c r="CG14" i="1"/>
  <c r="CH14" i="1"/>
  <c r="CG13" i="1"/>
  <c r="CI14" i="1"/>
  <c r="CH13" i="1"/>
  <c r="CE11" i="1"/>
  <c r="CE10" i="1"/>
  <c r="CJ14" i="1"/>
  <c r="CI13" i="1"/>
  <c r="CJ13" i="1"/>
  <c r="CK14" i="1"/>
  <c r="CK13" i="1"/>
  <c r="CL14" i="1"/>
  <c r="CL13" i="1"/>
  <c r="CM14" i="1"/>
  <c r="CN14" i="1"/>
  <c r="CM13" i="1"/>
  <c r="CN13" i="1"/>
  <c r="CO14" i="1"/>
  <c r="CP14" i="1"/>
  <c r="CL11" i="1"/>
  <c r="CL10" i="1"/>
  <c r="CO13" i="1"/>
  <c r="CP13" i="1"/>
  <c r="CQ14" i="1"/>
  <c r="CQ13" i="1"/>
  <c r="CR14" i="1"/>
  <c r="CS14" i="1"/>
  <c r="CR13" i="1"/>
  <c r="CT14" i="1"/>
  <c r="CS13" i="1"/>
  <c r="CU14" i="1"/>
  <c r="CT13" i="1"/>
  <c r="CU13" i="1"/>
  <c r="CV14" i="1"/>
  <c r="CV13" i="1"/>
  <c r="CW14" i="1"/>
  <c r="CS10" i="1"/>
  <c r="CS11" i="1"/>
  <c r="CX14" i="1"/>
  <c r="CW13" i="1"/>
  <c r="CX13" i="1"/>
  <c r="CY14" i="1"/>
  <c r="CZ14" i="1"/>
  <c r="CY13" i="1"/>
  <c r="CZ13" i="1"/>
  <c r="DA14" i="1"/>
  <c r="DA13" i="1"/>
  <c r="DB14" i="1"/>
  <c r="DB13" i="1"/>
  <c r="DC14" i="1"/>
  <c r="DD14" i="1"/>
  <c r="CZ11" i="1"/>
  <c r="CZ10" i="1"/>
  <c r="DC13" i="1"/>
  <c r="DE14" i="1"/>
  <c r="DD13" i="1"/>
  <c r="DE13" i="1"/>
  <c r="DF14" i="1"/>
  <c r="DF13" i="1"/>
  <c r="DG14" i="1"/>
  <c r="DH14" i="1"/>
  <c r="DG13" i="1"/>
  <c r="DI14" i="1"/>
  <c r="DH13" i="1"/>
  <c r="DJ14" i="1"/>
  <c r="DI13" i="1"/>
  <c r="DK14" i="1"/>
  <c r="DG10" i="1"/>
  <c r="DJ13" i="1"/>
  <c r="DG11" i="1"/>
  <c r="DK13" i="1"/>
  <c r="DL14" i="1"/>
  <c r="DL13" i="1"/>
  <c r="DM14" i="1"/>
  <c r="DN14" i="1"/>
  <c r="DM13" i="1"/>
  <c r="DN13" i="1"/>
  <c r="DO14" i="1"/>
  <c r="DP14" i="1"/>
  <c r="DO13" i="1"/>
  <c r="DP13" i="1"/>
  <c r="DQ14" i="1"/>
  <c r="DQ13" i="1"/>
  <c r="DN10" i="1"/>
  <c r="DR14" i="1"/>
  <c r="DN11" i="1"/>
  <c r="DS14" i="1"/>
  <c r="DR13" i="1"/>
  <c r="DS13" i="1"/>
  <c r="DT14" i="1"/>
  <c r="DU14" i="1"/>
  <c r="DT13" i="1"/>
  <c r="DV14" i="1"/>
  <c r="DU13" i="1"/>
  <c r="DV13" i="1"/>
  <c r="DW14" i="1"/>
  <c r="DW13" i="1"/>
  <c r="DX14" i="1"/>
  <c r="DY14" i="1"/>
  <c r="DU10" i="1"/>
  <c r="DU11" i="1"/>
  <c r="DX13" i="1"/>
  <c r="DZ14" i="1"/>
  <c r="DY13" i="1"/>
  <c r="DZ13" i="1"/>
  <c r="EA14" i="1"/>
  <c r="EA13" i="1"/>
  <c r="EB14" i="1"/>
  <c r="EB13" i="1"/>
  <c r="EC14" i="1"/>
  <c r="ED14" i="1"/>
  <c r="EC13" i="1"/>
  <c r="ED13" i="1"/>
  <c r="EE14" i="1"/>
  <c r="EF14" i="1"/>
  <c r="EB10" i="1"/>
  <c r="EB11" i="1"/>
  <c r="EE13" i="1"/>
  <c r="EF13" i="1"/>
  <c r="EG14" i="1"/>
  <c r="EG13" i="1"/>
  <c r="EH14" i="1"/>
  <c r="EI14" i="1"/>
  <c r="EH13" i="1"/>
  <c r="EJ14" i="1"/>
  <c r="EI13" i="1"/>
  <c r="EK14" i="1"/>
  <c r="EJ13" i="1"/>
  <c r="EL14" i="1"/>
  <c r="EK13" i="1"/>
  <c r="EL13" i="1"/>
  <c r="EI10" i="1"/>
  <c r="EM14" i="1"/>
  <c r="EI11" i="1"/>
  <c r="EN14" i="1"/>
  <c r="EM13" i="1"/>
  <c r="EN13" i="1"/>
  <c r="EO14" i="1"/>
  <c r="EP14" i="1"/>
  <c r="EO13" i="1"/>
  <c r="EP13" i="1"/>
  <c r="EQ14" i="1"/>
  <c r="EQ13" i="1"/>
  <c r="ER14" i="1"/>
  <c r="ES14" i="1"/>
  <c r="ER13" i="1"/>
  <c r="ET14" i="1"/>
  <c r="EP11" i="1"/>
  <c r="EP10" i="1"/>
  <c r="ES13" i="1"/>
  <c r="EU14" i="1"/>
  <c r="ET13" i="1"/>
  <c r="EU13" i="1"/>
  <c r="EV14" i="1"/>
  <c r="EV13" i="1"/>
  <c r="EW14" i="1"/>
  <c r="EX14" i="1"/>
  <c r="EW13" i="1"/>
  <c r="EY14" i="1"/>
  <c r="EX13" i="1"/>
  <c r="EZ14" i="1"/>
  <c r="EY13" i="1"/>
  <c r="FA14" i="1"/>
  <c r="EW10" i="1"/>
  <c r="EW11" i="1"/>
  <c r="EZ13" i="1"/>
  <c r="FA13" i="1"/>
  <c r="FB14" i="1"/>
  <c r="FB13" i="1"/>
  <c r="FC14" i="1"/>
  <c r="FD14" i="1"/>
  <c r="FC13" i="1"/>
  <c r="FE14" i="1"/>
  <c r="FD13" i="1"/>
  <c r="FF14" i="1"/>
  <c r="FE13" i="1"/>
  <c r="FF13" i="1"/>
  <c r="FG14" i="1"/>
  <c r="FH14" i="1"/>
  <c r="FD10" i="1"/>
  <c r="FD11" i="1"/>
  <c r="FG13" i="1"/>
  <c r="FH13" i="1"/>
  <c r="FI14" i="1"/>
  <c r="FI13" i="1"/>
  <c r="FJ14" i="1"/>
  <c r="FJ13" i="1"/>
  <c r="FK14" i="1"/>
  <c r="FL14" i="1"/>
  <c r="FK13" i="1"/>
  <c r="FM14" i="1"/>
  <c r="FL13" i="1"/>
  <c r="FM13" i="1"/>
  <c r="FN14" i="1"/>
  <c r="FK10" i="1"/>
  <c r="FK11" i="1"/>
  <c r="FN13" i="1"/>
  <c r="FO14" i="1"/>
  <c r="FO13" i="1"/>
  <c r="FP14" i="1"/>
  <c r="FQ14" i="1"/>
  <c r="FP13" i="1"/>
  <c r="FR14" i="1"/>
  <c r="FQ13" i="1"/>
  <c r="FR13" i="1"/>
  <c r="FS14" i="1"/>
  <c r="FS13" i="1"/>
  <c r="FT14" i="1"/>
  <c r="FT13" i="1"/>
  <c r="FU14" i="1"/>
  <c r="FR10" i="1"/>
  <c r="FU13" i="1"/>
  <c r="FV14" i="1"/>
  <c r="FR11" i="1"/>
  <c r="FW14" i="1"/>
  <c r="FV13" i="1"/>
  <c r="FX14" i="1"/>
  <c r="FW13" i="1"/>
  <c r="FX13" i="1"/>
  <c r="FY14" i="1"/>
  <c r="FZ14" i="1"/>
  <c r="FY13" i="1"/>
  <c r="FZ13" i="1"/>
  <c r="GA14" i="1"/>
  <c r="GA13" i="1"/>
  <c r="GB14" i="1"/>
  <c r="GB13" i="1"/>
  <c r="GC14" i="1"/>
  <c r="FY10" i="1"/>
  <c r="FY11" i="1"/>
  <c r="GC13" i="1"/>
  <c r="GD14" i="1"/>
  <c r="GD13" i="1"/>
  <c r="GE14" i="1"/>
  <c r="GE13" i="1"/>
  <c r="GF14" i="1"/>
  <c r="GG14" i="1"/>
  <c r="GF13" i="1"/>
  <c r="GH14" i="1"/>
  <c r="GG13" i="1"/>
  <c r="GH13" i="1"/>
  <c r="GI14" i="1"/>
  <c r="GF10" i="1"/>
  <c r="GF11" i="1"/>
  <c r="GI13" i="1"/>
  <c r="GJ14" i="1"/>
  <c r="GJ13" i="1"/>
  <c r="GK14" i="1"/>
  <c r="GK13" i="1"/>
  <c r="GL14" i="1"/>
  <c r="GM14" i="1"/>
  <c r="GL13" i="1"/>
  <c r="GN14" i="1"/>
  <c r="GM13" i="1"/>
  <c r="GN13" i="1"/>
  <c r="GO14" i="1"/>
  <c r="GO13" i="1"/>
  <c r="GP14" i="1"/>
  <c r="GM10" i="1"/>
  <c r="GM11" i="1"/>
  <c r="GP13" i="1"/>
  <c r="GQ14" i="1"/>
  <c r="GQ13" i="1"/>
  <c r="GR14" i="1"/>
  <c r="GS14" i="1"/>
  <c r="GR13" i="1"/>
  <c r="GT14" i="1"/>
  <c r="GS13" i="1"/>
  <c r="GU14" i="1"/>
  <c r="GT13" i="1"/>
  <c r="GV14" i="1"/>
  <c r="GU13" i="1"/>
  <c r="GV13" i="1"/>
  <c r="GW14" i="1"/>
  <c r="GT10" i="1"/>
  <c r="GX14" i="1"/>
  <c r="GT11" i="1"/>
  <c r="GW13" i="1"/>
  <c r="GX13" i="1"/>
  <c r="GY14" i="1"/>
  <c r="GZ14" i="1"/>
  <c r="GY13" i="1"/>
  <c r="HA14" i="1"/>
  <c r="GZ13" i="1"/>
  <c r="HB14" i="1"/>
  <c r="HA13" i="1"/>
  <c r="HC14" i="1"/>
  <c r="HB13" i="1"/>
  <c r="HC13" i="1"/>
  <c r="HD14" i="1"/>
  <c r="HE14" i="1"/>
  <c r="HA11" i="1"/>
  <c r="HD13" i="1"/>
  <c r="HA10" i="1"/>
  <c r="HF14" i="1"/>
  <c r="HE13" i="1"/>
  <c r="HF13" i="1"/>
  <c r="HG14" i="1"/>
  <c r="HG13" i="1"/>
  <c r="HH14" i="1"/>
  <c r="HH13" i="1"/>
  <c r="HI14" i="1"/>
  <c r="HI13" i="1"/>
  <c r="HJ14" i="1"/>
  <c r="HK14" i="1"/>
  <c r="HJ13" i="1"/>
  <c r="HL14" i="1"/>
  <c r="HK13" i="1"/>
  <c r="HH11" i="1"/>
  <c r="HH10" i="1"/>
  <c r="HL13" i="1"/>
  <c r="HM14" i="1"/>
  <c r="HN14" i="1"/>
  <c r="HM13" i="1"/>
  <c r="HN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TM</author>
  </authors>
  <commentList>
    <comment ref="E4" authorId="0" shapeId="0" xr:uid="{00000000-0006-0000-0000-000001000000}">
      <text>
        <r>
          <rPr>
            <sz val="9"/>
            <color indexed="81"/>
            <rFont val="Segoe UI"/>
            <family val="2"/>
          </rPr>
          <t>In dieses Feld kannst du Projektdaten eingeben</t>
        </r>
      </text>
    </comment>
    <comment ref="H11" authorId="0" shapeId="0" xr:uid="{00000000-0006-0000-0000-000002000000}">
      <text>
        <r>
          <rPr>
            <sz val="9"/>
            <color indexed="81"/>
            <rFont val="Segoe UI"/>
            <family val="2"/>
          </rPr>
          <t xml:space="preserve">Bitte als Datum immer einen Montag eingeben. </t>
        </r>
      </text>
    </comment>
    <comment ref="H12" authorId="0" shapeId="0" xr:uid="{00000000-0006-0000-0000-000003000000}">
      <text>
        <r>
          <rPr>
            <sz val="9"/>
            <color indexed="81"/>
            <rFont val="Segoe UI"/>
            <family val="2"/>
          </rPr>
          <t>Gib hier ein "x" ein, um nur Arbeitstage (Montag bis Sonntag)  zu berücksichtigen.</t>
        </r>
      </text>
    </comment>
    <comment ref="B15" authorId="0" shapeId="0" xr:uid="{00000000-0006-0000-0000-000004000000}">
      <text>
        <r>
          <rPr>
            <sz val="9"/>
            <color indexed="81"/>
            <rFont val="Segoe UI"/>
            <family val="2"/>
          </rPr>
          <t>Zeigt eine fortlaufende Nummer an. Dient zur Orientierung.</t>
        </r>
      </text>
    </comment>
    <comment ref="C15" authorId="0" shapeId="0" xr:uid="{00000000-0006-0000-0000-000005000000}">
      <text>
        <r>
          <rPr>
            <sz val="9"/>
            <color indexed="81"/>
            <rFont val="Segoe UI"/>
            <family val="2"/>
          </rPr>
          <t>Durch Eingabe von "x" oder "X" wird die komplette Zeile in grau markiert. Dies kann z.B. als Meilensteinlinie oder  auch zum Kenntlich machen bestimmter Projektblöcke verwendet werden. 
Mit einem "f" oder "F" wird die Zeile ebenfalls grau. Wenn aber ein Meilenstein gesetzt wurde, wird dieser in der Spalte "I" grün.</t>
        </r>
      </text>
    </comment>
    <comment ref="D15" authorId="0" shapeId="0" xr:uid="{00000000-0006-0000-0000-000006000000}">
      <text>
        <r>
          <rPr>
            <sz val="9"/>
            <color indexed="81"/>
            <rFont val="Segoe UI"/>
            <family val="2"/>
          </rPr>
          <t>Hier kann eine Aufgabe/Tätigkeit des Projektes eingegeben werden.</t>
        </r>
      </text>
    </comment>
    <comment ref="E15" authorId="0" shapeId="0" xr:uid="{00000000-0006-0000-0000-000007000000}">
      <text>
        <r>
          <rPr>
            <sz val="9"/>
            <color indexed="81"/>
            <rFont val="Segoe UI"/>
            <family val="2"/>
          </rPr>
          <t>Gib hier den Beginn der Aufgabe/Tätigkeit ein.</t>
        </r>
      </text>
    </comment>
    <comment ref="F15" authorId="0" shapeId="0" xr:uid="{00000000-0006-0000-0000-000008000000}">
      <text>
        <r>
          <rPr>
            <sz val="9"/>
            <color indexed="81"/>
            <rFont val="Segoe UI"/>
            <family val="2"/>
          </rPr>
          <t xml:space="preserve">Gib hier die geplante Dauer (in Tagen) der Aufgabe/Tätigkeit ein. 
Setze in Zelle "H11" ein kleines "x" um die Dauer in Arbeitstagen zu berechnen.
Ohne "x" werden die Wochenenden (Samstag und Sonntag) mitgezählt.
</t>
        </r>
      </text>
    </comment>
    <comment ref="G15" authorId="0" shapeId="0" xr:uid="{00000000-0006-0000-0000-000009000000}">
      <text>
        <r>
          <rPr>
            <sz val="9"/>
            <color indexed="81"/>
            <rFont val="Segoe UI"/>
            <family val="2"/>
          </rPr>
          <t>Hier bitte nichts eingeben. Das Enddatum wird über eine Formel berechnet.</t>
        </r>
      </text>
    </comment>
    <comment ref="H15" authorId="0" shapeId="0" xr:uid="{00000000-0006-0000-0000-00000A000000}">
      <text>
        <r>
          <rPr>
            <sz val="9"/>
            <color indexed="81"/>
            <rFont val="Segoe UI"/>
            <family val="2"/>
          </rPr>
          <t>Gib hier den Projektstatus in Prozent an (Zahl von 0 bis 100). Das Prozentzeichen wird automatisch eingefügt.</t>
        </r>
      </text>
    </comment>
    <comment ref="I15" authorId="0" shapeId="0" xr:uid="{00000000-0006-0000-0000-00000B000000}">
      <text>
        <r>
          <rPr>
            <sz val="9"/>
            <color indexed="81"/>
            <rFont val="Segoe UI"/>
            <family val="2"/>
          </rPr>
          <t>Hier kann ein Meilenstein gesetzt werden. Einfach das Datum des gewünschten Tages eingeben.</t>
        </r>
      </text>
    </comment>
    <comment ref="J15" authorId="0" shapeId="0" xr:uid="{00000000-0006-0000-0000-00000C000000}">
      <text>
        <r>
          <rPr>
            <sz val="9"/>
            <color indexed="81"/>
            <rFont val="Segoe UI"/>
            <family val="2"/>
          </rPr>
          <t>Setze hier ein "F" für Meilenstein fertig.</t>
        </r>
      </text>
    </comment>
    <comment ref="K15" authorId="0" shapeId="0" xr:uid="{00000000-0006-0000-0000-00000D000000}">
      <text>
        <r>
          <rPr>
            <sz val="9"/>
            <color indexed="81"/>
            <rFont val="Segoe UI"/>
            <family val="2"/>
          </rPr>
          <t>Name des Verantwortlichen für die Aufgabe/Tätigkeit eingeben.</t>
        </r>
      </text>
    </comment>
    <comment ref="L15" authorId="0" shapeId="0" xr:uid="{00000000-0006-0000-0000-00000E000000}">
      <text>
        <r>
          <rPr>
            <sz val="9"/>
            <color indexed="81"/>
            <rFont val="Segoe UI"/>
            <family val="2"/>
          </rPr>
          <t>Name der unterstützenden Person oder des unterstützenden Teams angeben.</t>
        </r>
      </text>
    </comment>
  </commentList>
</comments>
</file>

<file path=xl/sharedStrings.xml><?xml version="1.0" encoding="utf-8"?>
<sst xmlns="http://schemas.openxmlformats.org/spreadsheetml/2006/main" count="518" uniqueCount="225">
  <si>
    <t>Anforderungsliste</t>
  </si>
  <si>
    <t>Position</t>
  </si>
  <si>
    <t>F/W</t>
  </si>
  <si>
    <t>Anforderung für Aufgabe / Teilaufgabe</t>
  </si>
  <si>
    <t>Wert</t>
  </si>
  <si>
    <t>Einheit</t>
  </si>
  <si>
    <t>1.</t>
  </si>
  <si>
    <t>2.</t>
  </si>
  <si>
    <t>F</t>
  </si>
  <si>
    <t>3.</t>
  </si>
  <si>
    <t>4.</t>
  </si>
  <si>
    <t>5.</t>
  </si>
  <si>
    <t>W</t>
  </si>
  <si>
    <t>Projektplan</t>
  </si>
  <si>
    <t>Projekt</t>
  </si>
  <si>
    <t>Farbspiegel</t>
  </si>
  <si>
    <t>Projektnummer</t>
  </si>
  <si>
    <t>geplant</t>
  </si>
  <si>
    <t>Projektleiter/in</t>
  </si>
  <si>
    <t>abgeschlossen</t>
  </si>
  <si>
    <t>Datum</t>
  </si>
  <si>
    <t>Meilenstein</t>
  </si>
  <si>
    <t>Stand:</t>
  </si>
  <si>
    <t>Monat</t>
  </si>
  <si>
    <t>Kalenderstart</t>
  </si>
  <si>
    <t>KW</t>
  </si>
  <si>
    <t>Nur Arbeitstage (x=Ja)</t>
  </si>
  <si>
    <t>x</t>
  </si>
  <si>
    <t>Tageszähler</t>
  </si>
  <si>
    <t>Wochentag</t>
  </si>
  <si>
    <t>Pos.</t>
  </si>
  <si>
    <t>Linie
zeigen</t>
  </si>
  <si>
    <t>Aufgabe/Tätigkeit</t>
  </si>
  <si>
    <t>Beginn
[Datum]</t>
  </si>
  <si>
    <r>
      <t xml:space="preserve">Ende
[Datum]
</t>
    </r>
    <r>
      <rPr>
        <b/>
        <sz val="8"/>
        <color rgb="FFFF0000"/>
        <rFont val="Calibri"/>
        <family val="2"/>
        <scheme val="minor"/>
      </rPr>
      <t>keine Eingabe</t>
    </r>
  </si>
  <si>
    <t>Status 
[0 bis 100]</t>
  </si>
  <si>
    <t>Meilenstein
[Datum]</t>
  </si>
  <si>
    <t>Verantwortlich
[Name]</t>
  </si>
  <si>
    <t>Unterstützung
[Name]</t>
  </si>
  <si>
    <t>6.</t>
  </si>
  <si>
    <t>Terminplan/Projektplan</t>
  </si>
  <si>
    <t>Light-Version 2.2 vom 04.02.2017</t>
  </si>
  <si>
    <t>Allgemeine Information über diese Vorlage</t>
  </si>
  <si>
    <t>Mit dem Terminplaner oder auch Projektplaner kannst du deine Projekte einfach planen. Es stehen dir 60 Zeilen zur Planung bereit. Du kannst natürlich auch mehr Zeilen einfügen oder Zeilen entfernen. 
Die Zeitachse ist beliebig einstellbar. Gib einfach einen Starttermin ein und der Kalender wird automatisch erstellt. Bitte darauf achten, daß als Starttermin ein Montag gewählt wird.</t>
  </si>
  <si>
    <t>Bedienungshinweise</t>
  </si>
  <si>
    <r>
      <rPr>
        <b/>
        <sz val="10"/>
        <color theme="1" tint="0.34998626667073579"/>
        <rFont val="Arial"/>
        <family val="2"/>
      </rPr>
      <t>Eine zusätzliche Zeile einfügen:</t>
    </r>
    <r>
      <rPr>
        <sz val="10"/>
        <color theme="1" tint="0.34998626667073579"/>
        <rFont val="Arial"/>
        <family val="2"/>
      </rPr>
      <t xml:space="preserve"> Komplette Zeile markieren, kopieren und einfügen. So werden alle Formatierungen übernommen.
</t>
    </r>
    <r>
      <rPr>
        <b/>
        <sz val="10"/>
        <color theme="1" tint="0.34998626667073579"/>
        <rFont val="Arial"/>
        <family val="2"/>
      </rPr>
      <t>Tipp:</t>
    </r>
    <r>
      <rPr>
        <sz val="10"/>
        <color theme="1" tint="0.34998626667073579"/>
        <rFont val="Arial"/>
        <family val="2"/>
      </rPr>
      <t xml:space="preserve"> Gib als Kalenderstartdatum immer das Datum eines Montages ein. So werden die Kalenderwochen richtig angezeigt.</t>
    </r>
  </si>
  <si>
    <t>Was ist neu in Version 2.2</t>
  </si>
  <si>
    <t xml:space="preserve"> - Der Projektplan wurde optisch übersichtlicher gestaltet.
 - Die Jahreszahl wird nun im Monat angezeigt, z.B. Januar 17. Dadurch sind auch  
   Projektpläne über mehrere Jahre möglich.
 - Wenn ein "x" für "Anzeige nur Arbeitstage" gesetzt ist, werden nun die Balken nicht 
   mehr an den Wochenenden angezeigt. Samstag/Sonntag bleibt dann grau.
 - Meilensteine: Liegt ein Meilenstein in der Vergangenheit, wird dieser in rot dargestellt. 
   Durch Eingabe eine "F" (für Fertig) kann der Meilenstein auf grün gesetzt werden. 
 - Es steht nun eine Vorlage für den Kalenderzeitraum 12 Monate und eine Vorlage für 
   24 Monate zur Verfügung.</t>
  </si>
  <si>
    <t>Allgemeine Hinweise</t>
  </si>
  <si>
    <t>Die Tabelle ist offen, d.h. sie hat keinen Blattschutz. Es werden teilweise Formeln und bedingte Formatierungen verwendet. Daher bitte darauf achten, dass keine Formeln aus den Zellen gelöscht werden.</t>
  </si>
  <si>
    <t xml:space="preserve">Auf </t>
  </si>
  <si>
    <t>http://www.alle-meine-vorlagen.de/</t>
  </si>
  <si>
    <t>stehen viele weitere Vorlagen zum Download bereit wie z.B.:</t>
  </si>
  <si>
    <t>￭ Arbeitszeitnachweis</t>
  </si>
  <si>
    <t>￭ Anwesenheitsliste</t>
  </si>
  <si>
    <t>￭ Notenspiegel</t>
  </si>
  <si>
    <t>￭ Hausaufgabenplaner</t>
  </si>
  <si>
    <t>￭ AMV-Jahreskalender 2017</t>
  </si>
  <si>
    <t>￭ Telefonnotiz</t>
  </si>
  <si>
    <t>￭ Checkliste Campingurlaub</t>
  </si>
  <si>
    <t>￭ Einfache ToDo-Liste</t>
  </si>
  <si>
    <t>￭ Kassenbuch</t>
  </si>
  <si>
    <t>￭ FotoDoku - Individuelle Fotodokumente schnell und einfach erstellen</t>
  </si>
  <si>
    <t>um nur einige zu nennen…</t>
  </si>
  <si>
    <t>k. A.</t>
  </si>
  <si>
    <t>Alle</t>
  </si>
  <si>
    <t>-</t>
  </si>
  <si>
    <t>Ideensammlung</t>
  </si>
  <si>
    <t>Abwägung</t>
  </si>
  <si>
    <t>Kostenschätzung</t>
  </si>
  <si>
    <t>Projektplanung</t>
  </si>
  <si>
    <t>Planungsphase</t>
  </si>
  <si>
    <t>Konzeptphase</t>
  </si>
  <si>
    <t>Zielsetzung</t>
  </si>
  <si>
    <t>Lösungsansätze</t>
  </si>
  <si>
    <t>Projekteilnehmer</t>
  </si>
  <si>
    <t>Qiu</t>
  </si>
  <si>
    <t>Güney</t>
  </si>
  <si>
    <t>Bestellung Bauteile</t>
  </si>
  <si>
    <t>Çurumi</t>
  </si>
  <si>
    <t>Häußler</t>
  </si>
  <si>
    <t xml:space="preserve">Schaltungskonzept Entwicklung </t>
  </si>
  <si>
    <t xml:space="preserve">Motorsteuerung Schaltkonzept </t>
  </si>
  <si>
    <t>Hindernisumfahrung</t>
  </si>
  <si>
    <t xml:space="preserve">Fahrspurerkennung Konzeptentwicklung </t>
  </si>
  <si>
    <t xml:space="preserve">Algorithmus Entwurf </t>
  </si>
  <si>
    <t>Erprobung der Algorithmus</t>
  </si>
  <si>
    <t>Konzeptauswahl</t>
  </si>
  <si>
    <t>Data Training</t>
  </si>
  <si>
    <t xml:space="preserve">Objekterkennung Konzeptentwicklung </t>
  </si>
  <si>
    <t>Schnittstelle Robotarm-Objekterkennung</t>
  </si>
  <si>
    <t>Konzeptentwicklung  Hindernissumfahrung</t>
  </si>
  <si>
    <t>Konzeptentwicklung  Motorsteuerung und ROS</t>
  </si>
  <si>
    <t>ROS Konzeptentwurf</t>
  </si>
  <si>
    <t>ROS Konzeptumsetzung</t>
  </si>
  <si>
    <t xml:space="preserve">Konzeptentwicklung Induktives Laden und Einparken </t>
  </si>
  <si>
    <t xml:space="preserve"> Zussamenbau </t>
  </si>
  <si>
    <t xml:space="preserve">Karosserie mit Motorsteuerung und Induktive Ladung </t>
  </si>
  <si>
    <t xml:space="preserve">Roboterarm </t>
  </si>
  <si>
    <t xml:space="preserve">Konstruktion Fehlende Bauteile </t>
  </si>
  <si>
    <t>Halterung USS</t>
  </si>
  <si>
    <t xml:space="preserve">Halterung Kamera </t>
  </si>
  <si>
    <t xml:space="preserve">Ersatzbauteil Roboterarm </t>
  </si>
  <si>
    <t>Hußler</t>
  </si>
  <si>
    <t>Schaltplan Roboterarm</t>
  </si>
  <si>
    <t xml:space="preserve">Çurumi                          </t>
  </si>
  <si>
    <t>Logo Omega-Tron</t>
  </si>
  <si>
    <t>Konzeptumsetzung und Diagnose</t>
  </si>
  <si>
    <t>Ultraschallsensoren und Kamera</t>
  </si>
  <si>
    <t>Dokumentation Vorbereitung</t>
  </si>
  <si>
    <t>Dokumentation zu Projektarbeit</t>
  </si>
  <si>
    <t>Projektname: Omega-Tron</t>
  </si>
  <si>
    <t>Häußler, Qiu</t>
  </si>
  <si>
    <t>Omega-Tron</t>
  </si>
  <si>
    <t xml:space="preserve">Çurumi, Arlind     
Häußler, Christoph   
Qiu, Jiang Qi                                                                            Güney, Ismail                                                                                                                                                                        </t>
  </si>
  <si>
    <t xml:space="preserve">Induktives Laden und Einparken </t>
  </si>
  <si>
    <t>Algorhythmus Entwürfe</t>
  </si>
  <si>
    <t>Erprobung des Algorhythmus</t>
  </si>
  <si>
    <t>Diagnose und Debugging</t>
  </si>
  <si>
    <t>Deep Learning Algorhythmusauswahl zur Data Training</t>
  </si>
  <si>
    <t>Data Collection</t>
  </si>
  <si>
    <t>Umsetzung und Erprobung der Algorhythums</t>
  </si>
  <si>
    <t>Roboterarm Codeentwurf</t>
  </si>
  <si>
    <t xml:space="preserve">Konzeptentwicklung autonomes Greifen mittels Objekterkennung </t>
  </si>
  <si>
    <t xml:space="preserve">Algorhythmus Entwurf </t>
  </si>
  <si>
    <t xml:space="preserve">Motorsteuerung Algorhythmus Entwurf </t>
  </si>
  <si>
    <t xml:space="preserve">Bodenplatte für zusätzliche Ebene </t>
  </si>
  <si>
    <t>Testung und Fehlerbehebung</t>
  </si>
  <si>
    <t>PowerPoint Präsentation</t>
  </si>
  <si>
    <t>Pos</t>
  </si>
  <si>
    <t>1.1.</t>
  </si>
  <si>
    <t>Gesamtsystem</t>
  </si>
  <si>
    <t>1.2.</t>
  </si>
  <si>
    <t>Transportabel</t>
  </si>
  <si>
    <t>Komplett autonom</t>
  </si>
  <si>
    <t>Schickes Design</t>
  </si>
  <si>
    <t>2.1.</t>
  </si>
  <si>
    <t>2.2.</t>
  </si>
  <si>
    <t>2.3.</t>
  </si>
  <si>
    <t>2.4.</t>
  </si>
  <si>
    <t>2.5.</t>
  </si>
  <si>
    <t xml:space="preserve">Vorwärts-/Rückwärts-/Lenkbewegung </t>
  </si>
  <si>
    <t>Fahrspurverfolgung</t>
  </si>
  <si>
    <t>Objekterkennug</t>
  </si>
  <si>
    <t>Roboterarm Ausführung</t>
  </si>
  <si>
    <t>2.6.</t>
  </si>
  <si>
    <t>Standortbestimmung</t>
  </si>
  <si>
    <t>2.7.</t>
  </si>
  <si>
    <t>Aktiver Parkassistent</t>
  </si>
  <si>
    <t>2.8.</t>
  </si>
  <si>
    <t>2.9.</t>
  </si>
  <si>
    <t>3.1.</t>
  </si>
  <si>
    <t>3.2.</t>
  </si>
  <si>
    <t>Über Computer</t>
  </si>
  <si>
    <t>Über Smartphone</t>
  </si>
  <si>
    <t>Ladestation</t>
  </si>
  <si>
    <t>4.1.</t>
  </si>
  <si>
    <t>Akkustandsanzeige</t>
  </si>
  <si>
    <t>Wireless Charging</t>
  </si>
  <si>
    <t>4.2.</t>
  </si>
  <si>
    <t>Roboterauto</t>
  </si>
  <si>
    <t>Schnittstelle Ladestation-Roboterauto</t>
  </si>
  <si>
    <t>Energiefluss möglich</t>
  </si>
  <si>
    <t>Parkschild (QR-Code) Erkennung</t>
  </si>
  <si>
    <t>5.1.</t>
  </si>
  <si>
    <t>5.2.</t>
  </si>
  <si>
    <t>Schnittstelle Roboterauto-Bedienung</t>
  </si>
  <si>
    <t>6.1.</t>
  </si>
  <si>
    <t>6.2.</t>
  </si>
  <si>
    <t>Roboterarm manuell bedienen</t>
  </si>
  <si>
    <t>Fahrzeug selbst steuern</t>
  </si>
  <si>
    <t>&lt;400</t>
  </si>
  <si>
    <t>€</t>
  </si>
  <si>
    <t>Herstellkosten</t>
  </si>
  <si>
    <t>1.3.</t>
  </si>
  <si>
    <t>1.4.</t>
  </si>
  <si>
    <t>1.5.</t>
  </si>
  <si>
    <t>1.6.</t>
  </si>
  <si>
    <t>Zerlegbarkeit</t>
  </si>
  <si>
    <t>Strukturstückliste</t>
  </si>
  <si>
    <t>Beschreibung</t>
  </si>
  <si>
    <t>Anz</t>
  </si>
  <si>
    <t>DC Motoren</t>
  </si>
  <si>
    <t>Abstandshülsen</t>
  </si>
  <si>
    <t>Bodenplatten</t>
  </si>
  <si>
    <t>Fahrgestell</t>
  </si>
  <si>
    <t>Projektlogo</t>
  </si>
  <si>
    <t>Recheneinheit</t>
  </si>
  <si>
    <t>Raspberry Pi 4 B</t>
  </si>
  <si>
    <t>Steckbrett</t>
  </si>
  <si>
    <t>Voltage Translator</t>
  </si>
  <si>
    <t>Motortreiber</t>
  </si>
  <si>
    <t>Motoreinheit</t>
  </si>
  <si>
    <t>Kameraeinheit</t>
  </si>
  <si>
    <t>Raspberry Pi Kamera</t>
  </si>
  <si>
    <t>Sensoreinheit</t>
  </si>
  <si>
    <t>Ultraschallsensor</t>
  </si>
  <si>
    <t>Halterung</t>
  </si>
  <si>
    <t>Arduino atmega328</t>
  </si>
  <si>
    <t>Roboterarm</t>
  </si>
  <si>
    <t>Servomotor</t>
  </si>
  <si>
    <t>Baukasten</t>
  </si>
  <si>
    <t>Akkueinheit</t>
  </si>
  <si>
    <t>AA Gehäuse</t>
  </si>
  <si>
    <t>Spezial-Akku 3,7 V</t>
  </si>
  <si>
    <t>AA Akku 1,2 V</t>
  </si>
  <si>
    <t>Schalter</t>
  </si>
  <si>
    <t>Lademodul</t>
  </si>
  <si>
    <t>Wireless Empfänger</t>
  </si>
  <si>
    <t>Drahtkabel</t>
  </si>
  <si>
    <t>USB C in Kabel</t>
  </si>
  <si>
    <t>Mobilität</t>
  </si>
  <si>
    <t>Selbständige Rückkehr zur Station bei kritischem Akkustand</t>
  </si>
  <si>
    <t>Gehäuse/Garage</t>
  </si>
  <si>
    <t>,,</t>
  </si>
  <si>
    <t>USB A Kabel</t>
  </si>
  <si>
    <t>Schraube</t>
  </si>
  <si>
    <t>Mutter</t>
  </si>
  <si>
    <t>Port Doubler</t>
  </si>
  <si>
    <t>USB C Kabel</t>
  </si>
  <si>
    <t>Jumper Kabel</t>
  </si>
  <si>
    <t>Noch nicht verbaut</t>
  </si>
  <si>
    <t>Flex Kabel</t>
  </si>
  <si>
    <t>Beschleunigungssensor</t>
  </si>
  <si>
    <t>Datenkabel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</si>
</sst>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
    <numFmt numFmtId="165" formatCode="d/m/"/>
  </numFmts>
  <fonts count="48">
    <font>
      <sz val="11"/>
      <color theme="1"/>
      <name val="Calibri"/>
      <family val="2"/>
      <scheme val="minor"/>
    </font>
    <font>
      <sz val="11"/>
      <color theme="1"/>
      <name val="Calibri"/>
      <family val="2"/>
      <scheme val="minor"/>
    </font>
    <font>
      <sz val="11"/>
      <color theme="0"/>
      <name val="Calibri"/>
      <family val="2"/>
      <scheme val="minor"/>
    </font>
    <font>
      <b/>
      <sz val="12"/>
      <color theme="0"/>
      <name val="Calibri"/>
      <family val="2"/>
      <scheme val="minor"/>
    </font>
    <font>
      <sz val="11"/>
      <color theme="8" tint="-0.249977111117893"/>
      <name val="Calibri"/>
      <family val="2"/>
      <scheme val="minor"/>
    </font>
    <font>
      <sz val="13"/>
      <color theme="8" tint="-0.249977111117893"/>
      <name val="Calibri"/>
      <family val="2"/>
      <scheme val="minor"/>
    </font>
    <font>
      <sz val="9"/>
      <color indexed="81"/>
      <name val="Segoe UI"/>
      <family val="2"/>
    </font>
    <font>
      <sz val="6"/>
      <color theme="1"/>
      <name val="Calibri"/>
      <family val="2"/>
      <scheme val="minor"/>
    </font>
    <font>
      <b/>
      <sz val="10"/>
      <color rgb="FF0070C0"/>
      <name val="Calibri"/>
      <family val="2"/>
      <scheme val="minor"/>
    </font>
    <font>
      <sz val="11"/>
      <color rgb="FF006600"/>
      <name val="Calibri"/>
      <family val="2"/>
      <scheme val="minor"/>
    </font>
    <font>
      <u/>
      <sz val="11"/>
      <color theme="10"/>
      <name val="Calibri"/>
      <family val="2"/>
      <scheme val="minor"/>
    </font>
    <font>
      <sz val="11"/>
      <color theme="0"/>
      <name val="Arial"/>
      <family val="2"/>
    </font>
    <font>
      <sz val="10"/>
      <color theme="1"/>
      <name val="Arial"/>
      <family val="2"/>
    </font>
    <font>
      <sz val="10"/>
      <color rgb="FF0070C0"/>
      <name val="Arial"/>
      <family val="2"/>
    </font>
    <font>
      <sz val="11"/>
      <color theme="1"/>
      <name val="Arial"/>
      <family val="2"/>
    </font>
    <font>
      <sz val="10"/>
      <color theme="1" tint="0.34998626667073579"/>
      <name val="Arial"/>
      <family val="2"/>
    </font>
    <font>
      <sz val="12"/>
      <color theme="1"/>
      <name val="Calibri"/>
      <family val="2"/>
      <scheme val="minor"/>
    </font>
    <font>
      <sz val="11"/>
      <color theme="8"/>
      <name val="Calibri"/>
      <family val="2"/>
      <scheme val="minor"/>
    </font>
    <font>
      <sz val="11"/>
      <color rgb="FF0070C0"/>
      <name val="Calibri"/>
      <family val="2"/>
      <scheme val="minor"/>
    </font>
    <font>
      <sz val="9"/>
      <color rgb="FF00B050"/>
      <name val="Calibri"/>
      <family val="2"/>
      <scheme val="minor"/>
    </font>
    <font>
      <b/>
      <sz val="11"/>
      <color theme="1"/>
      <name val="Calibri"/>
      <family val="2"/>
      <scheme val="minor"/>
    </font>
    <font>
      <sz val="8"/>
      <color theme="1" tint="0.34998626667073579"/>
      <name val="Arial"/>
      <family val="2"/>
    </font>
    <font>
      <b/>
      <sz val="11"/>
      <color theme="1"/>
      <name val="Arial"/>
      <family val="2"/>
    </font>
    <font>
      <b/>
      <sz val="10"/>
      <color theme="1" tint="0.249977111117893"/>
      <name val="Arial"/>
      <family val="2"/>
    </font>
    <font>
      <b/>
      <i/>
      <sz val="11"/>
      <color theme="1"/>
      <name val="Calibri"/>
      <family val="2"/>
      <scheme val="minor"/>
    </font>
    <font>
      <b/>
      <sz val="11"/>
      <color theme="8"/>
      <name val="Calibri"/>
      <family val="2"/>
      <scheme val="minor"/>
    </font>
    <font>
      <b/>
      <sz val="30"/>
      <color rgb="FF0070C0"/>
      <name val="Calibri"/>
      <family val="2"/>
      <scheme val="minor"/>
    </font>
    <font>
      <u/>
      <sz val="10"/>
      <color rgb="FF00B050"/>
      <name val="Calibri"/>
      <family val="2"/>
      <scheme val="minor"/>
    </font>
    <font>
      <sz val="9"/>
      <color rgb="FF0070C0"/>
      <name val="Arial"/>
      <family val="2"/>
    </font>
    <font>
      <sz val="10"/>
      <color theme="1" tint="0.14999847407452621"/>
      <name val="Calibri"/>
      <family val="2"/>
      <scheme val="minor"/>
    </font>
    <font>
      <b/>
      <sz val="10"/>
      <color theme="1" tint="0.14999847407452621"/>
      <name val="Calibri"/>
      <family val="2"/>
      <scheme val="minor"/>
    </font>
    <font>
      <b/>
      <sz val="16"/>
      <color rgb="FF71AF47"/>
      <name val="Arial"/>
      <family val="2"/>
    </font>
    <font>
      <sz val="9"/>
      <color theme="1" tint="0.34998626667073579"/>
      <name val="Arial"/>
      <family val="2"/>
    </font>
    <font>
      <i/>
      <sz val="10"/>
      <color theme="10"/>
      <name val="Calibri"/>
      <family val="2"/>
      <scheme val="minor"/>
    </font>
    <font>
      <b/>
      <sz val="10"/>
      <color theme="1" tint="0.34998626667073579"/>
      <name val="Arial"/>
      <family val="2"/>
    </font>
    <font>
      <sz val="10"/>
      <color theme="8"/>
      <name val="Arial Unicode MS"/>
      <family val="2"/>
    </font>
    <font>
      <b/>
      <u/>
      <sz val="11"/>
      <color theme="8"/>
      <name val="Calibri"/>
      <family val="2"/>
      <scheme val="minor"/>
    </font>
    <font>
      <b/>
      <sz val="8"/>
      <color rgb="FFFF0000"/>
      <name val="Calibri"/>
      <family val="2"/>
      <scheme val="minor"/>
    </font>
    <font>
      <b/>
      <u/>
      <sz val="11"/>
      <color rgb="FFFF0000"/>
      <name val="Calibri"/>
      <family val="2"/>
      <scheme val="minor"/>
    </font>
    <font>
      <b/>
      <sz val="36"/>
      <name val="Calibri"/>
      <family val="2"/>
      <scheme val="minor"/>
    </font>
    <font>
      <b/>
      <sz val="13"/>
      <name val="Calibri"/>
      <family val="2"/>
      <scheme val="minor"/>
    </font>
    <font>
      <sz val="13"/>
      <name val="Calibri"/>
      <family val="2"/>
      <scheme val="minor"/>
    </font>
    <font>
      <i/>
      <sz val="12"/>
      <name val="Calibri"/>
      <family val="2"/>
      <scheme val="minor"/>
    </font>
    <font>
      <b/>
      <sz val="14"/>
      <color theme="1"/>
      <name val="Calibri"/>
      <family val="2"/>
      <scheme val="minor"/>
    </font>
    <font>
      <sz val="11"/>
      <color theme="1"/>
      <name val="Calibri"/>
      <family val="2"/>
    </font>
    <font>
      <sz val="8"/>
      <name val="Calibri"/>
      <family val="2"/>
      <scheme val="minor"/>
    </font>
    <font>
      <b/>
      <sz val="9"/>
      <color theme="1"/>
      <name val="Calibri"/>
      <family val="2"/>
      <scheme val="minor"/>
    </font>
    <font>
      <b/>
      <sz val="11"/>
      <color theme="1"/>
      <name val="Calibri"/>
      <family val="2"/>
    </font>
  </fonts>
  <fills count="12">
    <fill>
      <patternFill patternType="none"/>
    </fill>
    <fill>
      <patternFill patternType="gray125"/>
    </fill>
    <fill>
      <patternFill patternType="solid">
        <fgColor theme="0" tint="-4.9989318521683403E-2"/>
        <bgColor indexed="64"/>
      </patternFill>
    </fill>
    <fill>
      <patternFill patternType="solid">
        <fgColor theme="2"/>
        <bgColor indexed="64"/>
      </patternFill>
    </fill>
    <fill>
      <patternFill patternType="solid">
        <fgColor theme="9"/>
        <bgColor indexed="64"/>
      </patternFill>
    </fill>
    <fill>
      <patternFill patternType="solid">
        <fgColor theme="4" tint="-0.499984740745262"/>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9" tint="-0.499984740745262"/>
        <bgColor indexed="64"/>
      </patternFill>
    </fill>
    <fill>
      <patternFill patternType="solid">
        <fgColor theme="7" tint="0.79998168889431442"/>
        <bgColor indexed="64"/>
      </patternFill>
    </fill>
    <fill>
      <patternFill patternType="solid">
        <fgColor theme="0" tint="-0.34998626667073579"/>
        <bgColor indexed="64"/>
      </patternFill>
    </fill>
  </fills>
  <borders count="7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2" tint="-0.499984740745262"/>
      </left>
      <right style="thin">
        <color theme="2" tint="-0.499984740745262"/>
      </right>
      <top/>
      <bottom/>
      <diagonal/>
    </border>
    <border>
      <left style="thin">
        <color theme="2" tint="-0.499984740745262"/>
      </left>
      <right/>
      <top/>
      <bottom/>
      <diagonal/>
    </border>
    <border>
      <left/>
      <right style="thin">
        <color theme="2" tint="-0.499984740745262"/>
      </right>
      <top/>
      <bottom/>
      <diagonal/>
    </border>
    <border>
      <left style="thin">
        <color theme="0" tint="-0.34998626667073579"/>
      </left>
      <right style="thin">
        <color theme="0"/>
      </right>
      <top/>
      <bottom style="thin">
        <color theme="2"/>
      </bottom>
      <diagonal/>
    </border>
    <border>
      <left style="thin">
        <color theme="2" tint="-0.499984740745262"/>
      </left>
      <right style="thin">
        <color theme="2" tint="-0.499984740745262"/>
      </right>
      <top/>
      <bottom style="medium">
        <color rgb="FF0070C0"/>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style="hair">
        <color theme="0" tint="-0.34998626667073579"/>
      </left>
      <right style="hair">
        <color theme="0" tint="-0.34998626667073579"/>
      </right>
      <top style="thin">
        <color theme="2"/>
      </top>
      <bottom style="thin">
        <color theme="2"/>
      </bottom>
      <diagonal/>
    </border>
    <border>
      <left style="medium">
        <color rgb="FF0070C0"/>
      </left>
      <right style="hair">
        <color rgb="FF0070C0"/>
      </right>
      <top style="medium">
        <color rgb="FF0070C0"/>
      </top>
      <bottom style="medium">
        <color rgb="FF0070C0"/>
      </bottom>
      <diagonal/>
    </border>
    <border>
      <left style="hair">
        <color rgb="FF0070C0"/>
      </left>
      <right style="hair">
        <color rgb="FF0070C0"/>
      </right>
      <top style="medium">
        <color rgb="FF0070C0"/>
      </top>
      <bottom style="medium">
        <color rgb="FF0070C0"/>
      </bottom>
      <diagonal/>
    </border>
    <border>
      <left style="hair">
        <color rgb="FF0070C0"/>
      </left>
      <right style="medium">
        <color rgb="FF0070C0"/>
      </right>
      <top style="medium">
        <color rgb="FF0070C0"/>
      </top>
      <bottom style="medium">
        <color rgb="FF0070C0"/>
      </bottom>
      <diagonal/>
    </border>
    <border>
      <left/>
      <right/>
      <top style="thin">
        <color theme="1" tint="0.24994659260841701"/>
      </top>
      <bottom/>
      <diagonal/>
    </border>
    <border>
      <left style="thin">
        <color rgb="FF0070C0"/>
      </left>
      <right style="thin">
        <color theme="2" tint="-0.499984740745262"/>
      </right>
      <top style="thin">
        <color rgb="FF0070C0"/>
      </top>
      <bottom/>
      <diagonal/>
    </border>
    <border>
      <left style="thin">
        <color rgb="FF0070C0"/>
      </left>
      <right style="thin">
        <color theme="2" tint="-0.499984740745262"/>
      </right>
      <top/>
      <bottom/>
      <diagonal/>
    </border>
    <border>
      <left/>
      <right/>
      <top/>
      <bottom style="medium">
        <color theme="9"/>
      </bottom>
      <diagonal/>
    </border>
    <border>
      <left/>
      <right style="thin">
        <color theme="0"/>
      </right>
      <top/>
      <bottom style="thin">
        <color theme="2"/>
      </bottom>
      <diagonal/>
    </border>
    <border>
      <left style="hair">
        <color theme="0" tint="-0.34998626667073579"/>
      </left>
      <right style="medium">
        <color theme="8"/>
      </right>
      <top style="medium">
        <color rgb="FF0070C0"/>
      </top>
      <bottom style="thin">
        <color theme="2"/>
      </bottom>
      <diagonal/>
    </border>
    <border>
      <left style="hair">
        <color theme="0" tint="-0.34998626667073579"/>
      </left>
      <right style="medium">
        <color theme="8"/>
      </right>
      <top style="thin">
        <color theme="2"/>
      </top>
      <bottom style="thin">
        <color theme="2"/>
      </bottom>
      <diagonal/>
    </border>
    <border>
      <left style="medium">
        <color theme="8"/>
      </left>
      <right style="hair">
        <color theme="0" tint="-0.34998626667073579"/>
      </right>
      <top style="medium">
        <color rgb="FF0070C0"/>
      </top>
      <bottom style="thin">
        <color theme="2"/>
      </bottom>
      <diagonal/>
    </border>
    <border>
      <left style="hair">
        <color theme="0" tint="-0.34998626667073579"/>
      </left>
      <right style="hair">
        <color theme="0" tint="-0.34998626667073579"/>
      </right>
      <top style="medium">
        <color rgb="FF0070C0"/>
      </top>
      <bottom style="thin">
        <color theme="2"/>
      </bottom>
      <diagonal/>
    </border>
    <border>
      <left style="medium">
        <color theme="8"/>
      </left>
      <right style="hair">
        <color theme="0" tint="-0.34998626667073579"/>
      </right>
      <top/>
      <bottom style="thin">
        <color theme="2"/>
      </bottom>
      <diagonal/>
    </border>
    <border>
      <left style="hair">
        <color theme="0" tint="-0.34998626667073579"/>
      </left>
      <right style="hair">
        <color theme="0" tint="-0.34998626667073579"/>
      </right>
      <top style="thin">
        <color theme="2"/>
      </top>
      <bottom style="medium">
        <color theme="8"/>
      </bottom>
      <diagonal/>
    </border>
    <border>
      <left style="hair">
        <color theme="0" tint="-0.34998626667073579"/>
      </left>
      <right style="medium">
        <color theme="8"/>
      </right>
      <top style="thin">
        <color theme="2"/>
      </top>
      <bottom style="medium">
        <color theme="8"/>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ck">
        <color auto="1"/>
      </left>
      <right/>
      <top/>
      <bottom/>
      <diagonal/>
    </border>
    <border>
      <left/>
      <right style="thick">
        <color auto="1"/>
      </right>
      <top/>
      <bottom/>
      <diagonal/>
    </border>
    <border>
      <left style="medium">
        <color theme="8"/>
      </left>
      <right style="hair">
        <color theme="0" tint="-0.34998626667073579"/>
      </right>
      <top style="thin">
        <color theme="2"/>
      </top>
      <bottom style="medium">
        <color theme="8"/>
      </bottom>
      <diagonal/>
    </border>
    <border>
      <left/>
      <right style="thin">
        <color theme="0"/>
      </right>
      <top style="thin">
        <color theme="2"/>
      </top>
      <bottom style="medium">
        <color theme="8"/>
      </bottom>
      <diagonal/>
    </border>
    <border>
      <left style="thin">
        <color theme="0" tint="-0.34998626667073579"/>
      </left>
      <right style="thin">
        <color theme="0"/>
      </right>
      <top style="thin">
        <color theme="2"/>
      </top>
      <bottom style="medium">
        <color theme="8"/>
      </bottom>
      <diagonal/>
    </border>
    <border>
      <left/>
      <right style="thin">
        <color indexed="64"/>
      </right>
      <top style="medium">
        <color rgb="FF0070C0"/>
      </top>
      <bottom/>
      <diagonal/>
    </border>
    <border>
      <left style="thin">
        <color theme="0" tint="-0.34998626667073579"/>
      </left>
      <right style="thin">
        <color indexed="64"/>
      </right>
      <top/>
      <bottom style="thin">
        <color theme="2"/>
      </bottom>
      <diagonal/>
    </border>
    <border>
      <left style="thin">
        <color theme="0" tint="-0.34998626667073579"/>
      </left>
      <right style="thin">
        <color indexed="64"/>
      </right>
      <top style="thin">
        <color theme="2"/>
      </top>
      <bottom style="medium">
        <color theme="8"/>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s>
  <cellStyleXfs count="3">
    <xf numFmtId="0" fontId="0" fillId="0" borderId="0"/>
    <xf numFmtId="9" fontId="1" fillId="0" borderId="0" applyFont="0" applyFill="0" applyBorder="0" applyAlignment="0" applyProtection="0"/>
    <xf numFmtId="0" fontId="10" fillId="0" borderId="0" applyNumberFormat="0" applyFill="0" applyBorder="0" applyAlignment="0" applyProtection="0"/>
  </cellStyleXfs>
  <cellXfs count="252">
    <xf numFmtId="0" fontId="0" fillId="0" borderId="0" xfId="0"/>
    <xf numFmtId="0" fontId="0" fillId="0" borderId="0" xfId="0" applyAlignment="1">
      <alignment vertical="center"/>
    </xf>
    <xf numFmtId="0" fontId="0" fillId="0" borderId="1" xfId="0" applyBorder="1"/>
    <xf numFmtId="0" fontId="0" fillId="0" borderId="1" xfId="0" applyBorder="1" applyAlignment="1">
      <alignment vertical="center"/>
    </xf>
    <xf numFmtId="0" fontId="0" fillId="0" borderId="2" xfId="0" applyBorder="1" applyAlignment="1">
      <alignment vertical="center"/>
    </xf>
    <xf numFmtId="0" fontId="0" fillId="0" borderId="2" xfId="0" applyBorder="1"/>
    <xf numFmtId="0" fontId="4" fillId="0" borderId="0" xfId="0" applyFont="1" applyAlignment="1">
      <alignment vertical="center"/>
    </xf>
    <xf numFmtId="0" fontId="7" fillId="0" borderId="0" xfId="0" applyFont="1"/>
    <xf numFmtId="0" fontId="0" fillId="0" borderId="6" xfId="0" applyFill="1" applyBorder="1" applyAlignment="1">
      <alignment vertical="center"/>
    </xf>
    <xf numFmtId="0" fontId="9" fillId="0" borderId="0" xfId="0" applyFont="1" applyFill="1"/>
    <xf numFmtId="0" fontId="10" fillId="0" borderId="0" xfId="2" applyAlignment="1">
      <alignment horizontal="left"/>
    </xf>
    <xf numFmtId="0" fontId="10" fillId="0" borderId="0" xfId="2" applyAlignment="1">
      <alignment horizontal="right"/>
    </xf>
    <xf numFmtId="0" fontId="12" fillId="0" borderId="0" xfId="0" applyFont="1" applyAlignment="1">
      <alignment vertical="top" wrapText="1"/>
    </xf>
    <xf numFmtId="0" fontId="0" fillId="0" borderId="0" xfId="0" applyAlignment="1">
      <alignment wrapText="1"/>
    </xf>
    <xf numFmtId="0" fontId="13" fillId="0" borderId="0" xfId="0" applyFont="1" applyAlignment="1">
      <alignment horizontal="left"/>
    </xf>
    <xf numFmtId="0" fontId="14" fillId="0" borderId="0" xfId="0" applyFont="1" applyAlignment="1">
      <alignment horizontal="right"/>
    </xf>
    <xf numFmtId="0" fontId="15" fillId="0" borderId="0" xfId="0" applyFont="1" applyAlignment="1">
      <alignment vertical="top" wrapText="1"/>
    </xf>
    <xf numFmtId="0" fontId="21" fillId="2" borderId="3" xfId="0" applyNumberFormat="1" applyFont="1" applyFill="1" applyBorder="1" applyAlignment="1">
      <alignment horizontal="center" vertical="center"/>
    </xf>
    <xf numFmtId="0" fontId="20" fillId="7" borderId="3" xfId="0" applyFont="1" applyFill="1" applyBorder="1" applyAlignment="1">
      <alignment horizontal="center" vertical="center"/>
    </xf>
    <xf numFmtId="164" fontId="23" fillId="6" borderId="0" xfId="0" applyNumberFormat="1" applyFont="1" applyFill="1" applyBorder="1" applyAlignment="1">
      <alignment horizontal="center" vertical="center"/>
    </xf>
    <xf numFmtId="0" fontId="0" fillId="0" borderId="0" xfId="0" applyAlignment="1">
      <alignment horizontal="left" indent="1"/>
    </xf>
    <xf numFmtId="0" fontId="0" fillId="0" borderId="0" xfId="0" applyFill="1" applyAlignment="1">
      <alignment vertical="center"/>
    </xf>
    <xf numFmtId="0" fontId="0" fillId="0" borderId="0" xfId="0" applyFill="1"/>
    <xf numFmtId="0" fontId="0" fillId="4" borderId="9" xfId="0" applyFill="1" applyBorder="1" applyAlignment="1">
      <alignment horizontal="center" vertical="center"/>
    </xf>
    <xf numFmtId="0" fontId="24" fillId="0" borderId="8" xfId="0" applyFont="1" applyBorder="1" applyAlignment="1">
      <alignment horizontal="center" vertical="center"/>
    </xf>
    <xf numFmtId="0" fontId="19" fillId="0" borderId="0" xfId="0" applyFont="1" applyAlignment="1">
      <alignment horizontal="left" indent="1"/>
    </xf>
    <xf numFmtId="0" fontId="8" fillId="0" borderId="0" xfId="0" applyFont="1" applyFill="1" applyBorder="1" applyAlignment="1">
      <alignment horizontal="center" vertical="top" wrapText="1"/>
    </xf>
    <xf numFmtId="0" fontId="8" fillId="3" borderId="12" xfId="0" applyFont="1" applyFill="1" applyBorder="1" applyAlignment="1">
      <alignment horizontal="center" vertical="top"/>
    </xf>
    <xf numFmtId="0" fontId="8" fillId="3" borderId="13" xfId="0" applyFont="1" applyFill="1" applyBorder="1" applyAlignment="1">
      <alignment horizontal="center" vertical="top" wrapText="1"/>
    </xf>
    <xf numFmtId="0" fontId="8" fillId="3" borderId="13" xfId="0" applyFont="1" applyFill="1" applyBorder="1" applyAlignment="1">
      <alignment horizontal="center" vertical="top"/>
    </xf>
    <xf numFmtId="0" fontId="8" fillId="3" borderId="14" xfId="0" applyFont="1" applyFill="1" applyBorder="1" applyAlignment="1">
      <alignment horizontal="center" vertical="top" wrapText="1"/>
    </xf>
    <xf numFmtId="0" fontId="26" fillId="0" borderId="0" xfId="0" applyFont="1" applyAlignment="1">
      <alignment vertical="center"/>
    </xf>
    <xf numFmtId="0" fontId="25" fillId="0" borderId="0" xfId="0" applyFont="1" applyBorder="1" applyAlignment="1">
      <alignment horizontal="right" indent="1"/>
    </xf>
    <xf numFmtId="0" fontId="16" fillId="0" borderId="15" xfId="0" applyFont="1" applyFill="1" applyBorder="1" applyAlignment="1">
      <alignment horizontal="center"/>
    </xf>
    <xf numFmtId="14" fontId="16" fillId="0" borderId="0" xfId="0" applyNumberFormat="1" applyFont="1" applyFill="1" applyBorder="1" applyAlignment="1">
      <alignment horizontal="center" vertical="center"/>
    </xf>
    <xf numFmtId="0" fontId="5" fillId="0" borderId="0" xfId="0" applyFont="1" applyFill="1" applyBorder="1" applyAlignment="1">
      <alignment vertical="top" wrapText="1"/>
    </xf>
    <xf numFmtId="165" fontId="28" fillId="6" borderId="7" xfId="0" applyNumberFormat="1" applyFont="1" applyFill="1" applyBorder="1" applyAlignment="1">
      <alignment horizontal="center" vertical="center"/>
    </xf>
    <xf numFmtId="0" fontId="0" fillId="8" borderId="9" xfId="0" applyFill="1" applyBorder="1" applyAlignment="1">
      <alignment horizontal="center" vertical="center"/>
    </xf>
    <xf numFmtId="0" fontId="2" fillId="9" borderId="10" xfId="0" applyFont="1" applyFill="1" applyBorder="1" applyAlignment="1">
      <alignment horizontal="center" vertical="center"/>
    </xf>
    <xf numFmtId="0" fontId="8" fillId="0" borderId="16" xfId="0" applyFont="1" applyFill="1" applyBorder="1" applyAlignment="1">
      <alignment horizontal="right" vertical="center" indent="1"/>
    </xf>
    <xf numFmtId="0" fontId="8" fillId="2" borderId="17" xfId="0" applyFont="1" applyFill="1" applyBorder="1" applyAlignment="1">
      <alignment horizontal="right" vertical="center" indent="1"/>
    </xf>
    <xf numFmtId="0" fontId="8" fillId="7" borderId="17" xfId="0" applyFont="1" applyFill="1" applyBorder="1" applyAlignment="1">
      <alignment horizontal="right" vertical="center" indent="1"/>
    </xf>
    <xf numFmtId="0" fontId="8" fillId="6" borderId="17" xfId="0" applyFont="1" applyFill="1" applyBorder="1" applyAlignment="1">
      <alignment horizontal="right" vertical="top" wrapText="1" indent="1"/>
    </xf>
    <xf numFmtId="0" fontId="20" fillId="0" borderId="0" xfId="0" applyFont="1" applyBorder="1" applyAlignment="1">
      <alignment vertical="center"/>
    </xf>
    <xf numFmtId="0" fontId="20" fillId="0" borderId="0" xfId="0" applyFont="1" applyBorder="1"/>
    <xf numFmtId="0" fontId="0" fillId="0" borderId="0" xfId="0" applyBorder="1"/>
    <xf numFmtId="0" fontId="25" fillId="0" borderId="0" xfId="0" applyFont="1" applyBorder="1" applyAlignment="1">
      <alignment horizontal="right"/>
    </xf>
    <xf numFmtId="14" fontId="29" fillId="0" borderId="11" xfId="1" applyNumberFormat="1" applyFont="1" applyFill="1" applyBorder="1" applyAlignment="1" applyProtection="1">
      <alignment horizontal="center" vertical="center"/>
      <protection locked="0"/>
    </xf>
    <xf numFmtId="0" fontId="5" fillId="0" borderId="0" xfId="0" applyFont="1" applyFill="1" applyBorder="1" applyAlignment="1">
      <alignment vertical="center"/>
    </xf>
    <xf numFmtId="14" fontId="5" fillId="0" borderId="0" xfId="0" applyNumberFormat="1" applyFont="1" applyFill="1" applyBorder="1" applyAlignment="1">
      <alignment vertical="center"/>
    </xf>
    <xf numFmtId="0" fontId="5" fillId="0" borderId="0" xfId="0" applyFont="1" applyFill="1" applyBorder="1" applyAlignment="1" applyProtection="1">
      <alignment horizontal="left" vertical="center"/>
      <protection locked="0"/>
    </xf>
    <xf numFmtId="14" fontId="5" fillId="0" borderId="0" xfId="0" applyNumberFormat="1" applyFont="1" applyFill="1" applyBorder="1" applyAlignment="1" applyProtection="1">
      <alignment horizontal="left" vertical="center"/>
      <protection locked="0"/>
    </xf>
    <xf numFmtId="0" fontId="5" fillId="0" borderId="0" xfId="0" applyFont="1" applyFill="1" applyBorder="1" applyAlignment="1" applyProtection="1">
      <alignment horizontal="left" vertical="top" wrapText="1"/>
      <protection locked="0"/>
    </xf>
    <xf numFmtId="14" fontId="16" fillId="0" borderId="0" xfId="0" applyNumberFormat="1" applyFont="1" applyFill="1" applyBorder="1" applyAlignment="1" applyProtection="1">
      <alignment horizontal="center" vertical="center"/>
      <protection locked="0"/>
    </xf>
    <xf numFmtId="0" fontId="16" fillId="0" borderId="0" xfId="0" applyFont="1" applyFill="1" applyBorder="1" applyAlignment="1" applyProtection="1">
      <alignment horizontal="center"/>
      <protection locked="0"/>
    </xf>
    <xf numFmtId="14" fontId="29" fillId="2" borderId="11" xfId="0" applyNumberFormat="1" applyFont="1" applyFill="1" applyBorder="1" applyAlignment="1">
      <alignment horizontal="center" vertical="center"/>
    </xf>
    <xf numFmtId="0" fontId="2" fillId="4" borderId="0" xfId="0" applyFont="1" applyFill="1" applyBorder="1"/>
    <xf numFmtId="0" fontId="0" fillId="4" borderId="0" xfId="0" applyFill="1"/>
    <xf numFmtId="0" fontId="11" fillId="4" borderId="0" xfId="0" applyFont="1" applyFill="1" applyBorder="1" applyAlignment="1">
      <alignment horizontal="left" indent="1"/>
    </xf>
    <xf numFmtId="0" fontId="31" fillId="0" borderId="0" xfId="0" applyFont="1" applyAlignment="1">
      <alignment horizontal="left" indent="1"/>
    </xf>
    <xf numFmtId="0" fontId="32" fillId="0" borderId="0" xfId="0" applyFont="1" applyAlignment="1">
      <alignment horizontal="left" indent="1"/>
    </xf>
    <xf numFmtId="0" fontId="15" fillId="0" borderId="0" xfId="0" applyFont="1" applyAlignment="1">
      <alignment horizontal="left" vertical="top" wrapText="1" indent="1"/>
    </xf>
    <xf numFmtId="0" fontId="0" fillId="0" borderId="18" xfId="0" applyBorder="1"/>
    <xf numFmtId="0" fontId="0" fillId="0" borderId="18" xfId="0" applyBorder="1" applyAlignment="1">
      <alignment wrapText="1"/>
    </xf>
    <xf numFmtId="0" fontId="17" fillId="0" borderId="0" xfId="0" applyFont="1"/>
    <xf numFmtId="0" fontId="25" fillId="0" borderId="0" xfId="0" applyFont="1" applyBorder="1" applyAlignment="1">
      <alignment horizontal="left" indent="1"/>
    </xf>
    <xf numFmtId="0" fontId="36" fillId="0" borderId="0" xfId="2" applyFont="1" applyFill="1" applyBorder="1" applyAlignment="1">
      <alignment horizontal="left" indent="1"/>
    </xf>
    <xf numFmtId="0" fontId="25" fillId="0" borderId="0" xfId="2" applyFont="1" applyFill="1" applyBorder="1" applyAlignment="1">
      <alignment horizontal="left" indent="1"/>
    </xf>
    <xf numFmtId="0" fontId="17" fillId="0" borderId="0" xfId="2" applyFont="1" applyFill="1" applyBorder="1" applyAlignment="1">
      <alignment horizontal="left" indent="1"/>
    </xf>
    <xf numFmtId="0" fontId="35" fillId="0" borderId="0" xfId="0" applyFont="1" applyAlignment="1">
      <alignment horizontal="left" indent="2"/>
    </xf>
    <xf numFmtId="0" fontId="17" fillId="0" borderId="0" xfId="0" applyFont="1" applyAlignment="1">
      <alignment horizontal="left" indent="1"/>
    </xf>
    <xf numFmtId="0" fontId="29" fillId="0" borderId="11" xfId="0" applyFont="1" applyFill="1" applyBorder="1" applyAlignment="1" applyProtection="1">
      <alignment horizontal="center" vertical="center"/>
      <protection locked="0"/>
    </xf>
    <xf numFmtId="0" fontId="30" fillId="0" borderId="11" xfId="0" applyFont="1" applyFill="1" applyBorder="1" applyAlignment="1" applyProtection="1">
      <alignment horizontal="left" vertical="center"/>
      <protection locked="0"/>
    </xf>
    <xf numFmtId="14" fontId="29" fillId="0" borderId="11" xfId="0" applyNumberFormat="1" applyFont="1" applyFill="1" applyBorder="1" applyAlignment="1" applyProtection="1">
      <alignment horizontal="left" vertical="center"/>
      <protection locked="0"/>
    </xf>
    <xf numFmtId="9" fontId="30" fillId="0" borderId="11" xfId="1" applyNumberFormat="1" applyFont="1" applyFill="1" applyBorder="1" applyAlignment="1" applyProtection="1">
      <alignment horizontal="center" vertical="center"/>
      <protection locked="0"/>
    </xf>
    <xf numFmtId="0" fontId="0" fillId="0" borderId="19" xfId="0" applyFill="1" applyBorder="1" applyAlignment="1">
      <alignment vertical="center"/>
    </xf>
    <xf numFmtId="14" fontId="29" fillId="0" borderId="20" xfId="1" applyNumberFormat="1" applyFont="1" applyFill="1" applyBorder="1" applyAlignment="1" applyProtection="1">
      <alignment horizontal="center" vertical="center"/>
      <protection locked="0"/>
    </xf>
    <xf numFmtId="14" fontId="29" fillId="0" borderId="21" xfId="1" applyNumberFormat="1" applyFont="1" applyFill="1" applyBorder="1" applyAlignment="1" applyProtection="1">
      <alignment horizontal="center" vertical="center"/>
      <protection locked="0"/>
    </xf>
    <xf numFmtId="0" fontId="18" fillId="0" borderId="22" xfId="0" applyFont="1" applyBorder="1" applyAlignment="1">
      <alignment horizontal="center" vertical="center"/>
    </xf>
    <xf numFmtId="0" fontId="29" fillId="0" borderId="23" xfId="0" applyFont="1" applyFill="1" applyBorder="1" applyAlignment="1" applyProtection="1">
      <alignment horizontal="center" vertical="center"/>
      <protection locked="0"/>
    </xf>
    <xf numFmtId="0" fontId="30" fillId="0" borderId="23" xfId="0" applyFont="1" applyFill="1" applyBorder="1" applyAlignment="1" applyProtection="1">
      <alignment horizontal="left" vertical="center"/>
      <protection locked="0"/>
    </xf>
    <xf numFmtId="14" fontId="29" fillId="0" borderId="23" xfId="0" applyNumberFormat="1" applyFont="1" applyFill="1" applyBorder="1" applyAlignment="1" applyProtection="1">
      <alignment horizontal="left" vertical="center"/>
      <protection locked="0"/>
    </xf>
    <xf numFmtId="14" fontId="29" fillId="2" borderId="23" xfId="0" applyNumberFormat="1" applyFont="1" applyFill="1" applyBorder="1" applyAlignment="1">
      <alignment horizontal="center" vertical="center"/>
    </xf>
    <xf numFmtId="9" fontId="30" fillId="0" borderId="23" xfId="1" applyNumberFormat="1" applyFont="1" applyFill="1" applyBorder="1" applyAlignment="1" applyProtection="1">
      <alignment horizontal="center" vertical="center"/>
      <protection locked="0"/>
    </xf>
    <xf numFmtId="14" fontId="29" fillId="0" borderId="23" xfId="0" applyNumberFormat="1" applyFont="1" applyFill="1" applyBorder="1" applyAlignment="1" applyProtection="1">
      <alignment horizontal="center" vertical="center"/>
      <protection locked="0"/>
    </xf>
    <xf numFmtId="14" fontId="29" fillId="0" borderId="23" xfId="1" applyNumberFormat="1" applyFont="1" applyFill="1" applyBorder="1" applyAlignment="1" applyProtection="1">
      <alignment horizontal="center" vertical="center"/>
      <protection locked="0"/>
    </xf>
    <xf numFmtId="0" fontId="18" fillId="0" borderId="24" xfId="0" applyFont="1" applyBorder="1" applyAlignment="1">
      <alignment horizontal="center" vertical="center"/>
    </xf>
    <xf numFmtId="0" fontId="29" fillId="0" borderId="25" xfId="0" applyFont="1" applyFill="1" applyBorder="1" applyAlignment="1" applyProtection="1">
      <alignment horizontal="center" vertical="center"/>
      <protection locked="0"/>
    </xf>
    <xf numFmtId="14" fontId="29" fillId="0" borderId="25" xfId="0" applyNumberFormat="1" applyFont="1" applyFill="1" applyBorder="1" applyAlignment="1" applyProtection="1">
      <alignment horizontal="left" vertical="center"/>
      <protection locked="0"/>
    </xf>
    <xf numFmtId="14" fontId="29" fillId="2" borderId="25" xfId="0" applyNumberFormat="1" applyFont="1" applyFill="1" applyBorder="1" applyAlignment="1">
      <alignment horizontal="center" vertical="center"/>
    </xf>
    <xf numFmtId="9" fontId="30" fillId="0" borderId="25" xfId="1" applyNumberFormat="1" applyFont="1" applyFill="1" applyBorder="1" applyAlignment="1" applyProtection="1">
      <alignment horizontal="center" vertical="center"/>
      <protection locked="0"/>
    </xf>
    <xf numFmtId="14" fontId="29" fillId="0" borderId="25" xfId="1" applyNumberFormat="1" applyFont="1" applyFill="1" applyBorder="1" applyAlignment="1" applyProtection="1">
      <alignment horizontal="center" vertical="center"/>
      <protection locked="0"/>
    </xf>
    <xf numFmtId="14" fontId="29" fillId="0" borderId="26" xfId="1" applyNumberFormat="1" applyFont="1" applyFill="1" applyBorder="1" applyAlignment="1" applyProtection="1">
      <alignment horizontal="center" vertical="center"/>
      <protection locked="0"/>
    </xf>
    <xf numFmtId="0" fontId="19" fillId="0" borderId="0" xfId="0" applyFont="1" applyFill="1" applyBorder="1" applyAlignment="1">
      <alignment vertical="top" wrapText="1"/>
    </xf>
    <xf numFmtId="14" fontId="42" fillId="2" borderId="34" xfId="0" applyNumberFormat="1" applyFont="1" applyFill="1" applyBorder="1" applyAlignment="1">
      <alignment horizontal="left"/>
    </xf>
    <xf numFmtId="0" fontId="38" fillId="6" borderId="0" xfId="2" applyFont="1" applyFill="1" applyBorder="1" applyAlignment="1">
      <alignment horizontal="right" vertical="center" wrapText="1"/>
    </xf>
    <xf numFmtId="0" fontId="0" fillId="0" borderId="52" xfId="0" applyBorder="1" applyAlignment="1">
      <alignment horizontal="center" vertical="center"/>
    </xf>
    <xf numFmtId="0" fontId="0" fillId="0" borderId="0" xfId="0" applyBorder="1" applyAlignment="1">
      <alignment horizontal="center"/>
    </xf>
    <xf numFmtId="0" fontId="39" fillId="0" borderId="0" xfId="0" applyFont="1" applyBorder="1" applyAlignment="1">
      <alignment horizontal="center" vertical="center"/>
    </xf>
    <xf numFmtId="0" fontId="10" fillId="0" borderId="0" xfId="2" applyBorder="1" applyAlignment="1">
      <alignment horizontal="left"/>
    </xf>
    <xf numFmtId="0" fontId="0" fillId="0" borderId="0" xfId="0" applyFill="1" applyAlignment="1">
      <alignment horizontal="center"/>
    </xf>
    <xf numFmtId="0" fontId="29" fillId="0" borderId="11" xfId="0" applyFont="1" applyFill="1" applyBorder="1" applyAlignment="1" applyProtection="1">
      <alignment horizontal="left" vertical="center"/>
      <protection locked="0"/>
    </xf>
    <xf numFmtId="0" fontId="29" fillId="0" borderId="11" xfId="0" applyFont="1" applyFill="1" applyBorder="1" applyAlignment="1" applyProtection="1">
      <alignment horizontal="left" vertical="center" wrapText="1"/>
      <protection locked="0"/>
    </xf>
    <xf numFmtId="0" fontId="30" fillId="0" borderId="11" xfId="0" applyFont="1" applyFill="1" applyBorder="1" applyAlignment="1" applyProtection="1">
      <alignment horizontal="left" vertical="center" wrapText="1"/>
      <protection locked="0"/>
    </xf>
    <xf numFmtId="14" fontId="29" fillId="0" borderId="11" xfId="1" applyNumberFormat="1" applyFont="1" applyFill="1" applyBorder="1" applyAlignment="1" applyProtection="1">
      <alignment horizontal="center" vertical="center" wrapText="1"/>
      <protection locked="0"/>
    </xf>
    <xf numFmtId="0" fontId="0" fillId="0" borderId="0" xfId="0" applyAlignment="1">
      <alignment horizontal="center"/>
    </xf>
    <xf numFmtId="0" fontId="0" fillId="0" borderId="0" xfId="0" applyAlignment="1">
      <alignment horizontal="left" vertical="center"/>
    </xf>
    <xf numFmtId="0" fontId="18" fillId="0" borderId="61" xfId="0" applyFont="1" applyBorder="1" applyAlignment="1">
      <alignment horizontal="center" vertical="center"/>
    </xf>
    <xf numFmtId="0" fontId="29" fillId="0" borderId="25" xfId="0" applyFont="1" applyFill="1" applyBorder="1" applyAlignment="1" applyProtection="1">
      <alignment horizontal="left" vertical="center"/>
      <protection locked="0"/>
    </xf>
    <xf numFmtId="0" fontId="0" fillId="0" borderId="62" xfId="0" applyFill="1" applyBorder="1" applyAlignment="1">
      <alignment vertical="center"/>
    </xf>
    <xf numFmtId="0" fontId="0" fillId="0" borderId="63" xfId="0" applyFill="1" applyBorder="1" applyAlignment="1">
      <alignment vertical="center"/>
    </xf>
    <xf numFmtId="164" fontId="23" fillId="6" borderId="64" xfId="0" applyNumberFormat="1" applyFont="1" applyFill="1" applyBorder="1" applyAlignment="1">
      <alignment horizontal="center" vertical="center"/>
    </xf>
    <xf numFmtId="0" fontId="0" fillId="0" borderId="65" xfId="0" applyFill="1" applyBorder="1" applyAlignment="1">
      <alignment vertical="center"/>
    </xf>
    <xf numFmtId="0" fontId="0" fillId="0" borderId="66" xfId="0" applyFill="1" applyBorder="1" applyAlignment="1">
      <alignment vertical="center"/>
    </xf>
    <xf numFmtId="0" fontId="0" fillId="0" borderId="52" xfId="0" applyBorder="1" applyAlignment="1">
      <alignment horizontal="left" vertical="center"/>
    </xf>
    <xf numFmtId="0" fontId="0" fillId="6" borderId="52" xfId="0" applyFill="1" applyBorder="1" applyAlignment="1">
      <alignment horizontal="center" vertical="center"/>
    </xf>
    <xf numFmtId="0" fontId="0" fillId="6" borderId="52" xfId="0" applyFill="1" applyBorder="1" applyAlignment="1">
      <alignment horizontal="left" vertical="center"/>
    </xf>
    <xf numFmtId="49" fontId="0" fillId="6" borderId="52" xfId="0" applyNumberFormat="1" applyFill="1" applyBorder="1" applyAlignment="1">
      <alignment horizontal="center" vertical="center"/>
    </xf>
    <xf numFmtId="0" fontId="0" fillId="0" borderId="57" xfId="0" applyBorder="1" applyAlignment="1">
      <alignment horizontal="center" vertical="center"/>
    </xf>
    <xf numFmtId="49" fontId="0" fillId="0" borderId="52" xfId="0" applyNumberFormat="1" applyBorder="1" applyAlignment="1">
      <alignment horizontal="left" vertical="center"/>
    </xf>
    <xf numFmtId="0" fontId="44" fillId="6" borderId="52" xfId="0" applyFont="1" applyFill="1" applyBorder="1" applyAlignment="1">
      <alignment horizontal="left" vertical="center"/>
    </xf>
    <xf numFmtId="0" fontId="0" fillId="0" borderId="53" xfId="0" applyBorder="1" applyAlignment="1">
      <alignment horizontal="left" vertical="center"/>
    </xf>
    <xf numFmtId="49" fontId="20" fillId="7" borderId="49" xfId="0" applyNumberFormat="1" applyFont="1" applyFill="1" applyBorder="1" applyAlignment="1">
      <alignment horizontal="left" vertical="center"/>
    </xf>
    <xf numFmtId="0" fontId="0" fillId="7" borderId="49" xfId="0" applyFill="1" applyBorder="1" applyAlignment="1">
      <alignment horizontal="center" vertical="center"/>
    </xf>
    <xf numFmtId="0" fontId="0" fillId="7" borderId="49" xfId="0" applyFill="1" applyBorder="1" applyAlignment="1">
      <alignment horizontal="left" vertical="center"/>
    </xf>
    <xf numFmtId="49" fontId="20" fillId="7" borderId="52" xfId="0" applyNumberFormat="1" applyFont="1" applyFill="1" applyBorder="1" applyAlignment="1">
      <alignment horizontal="left" vertical="center"/>
    </xf>
    <xf numFmtId="0" fontId="0" fillId="7" borderId="52" xfId="0" applyFill="1" applyBorder="1" applyAlignment="1">
      <alignment horizontal="center" vertical="center"/>
    </xf>
    <xf numFmtId="0" fontId="0" fillId="7" borderId="52" xfId="0" applyFill="1" applyBorder="1" applyAlignment="1">
      <alignment horizontal="left" vertical="center"/>
    </xf>
    <xf numFmtId="49" fontId="0" fillId="11" borderId="40" xfId="0" applyNumberFormat="1" applyFill="1" applyBorder="1" applyAlignment="1">
      <alignment vertical="center"/>
    </xf>
    <xf numFmtId="0" fontId="0" fillId="11" borderId="40" xfId="0" applyFill="1" applyBorder="1" applyAlignment="1">
      <alignment horizontal="center" vertical="center"/>
    </xf>
    <xf numFmtId="0" fontId="20" fillId="7" borderId="52" xfId="0" applyFont="1" applyFill="1" applyBorder="1" applyAlignment="1">
      <alignment horizontal="center" vertical="center"/>
    </xf>
    <xf numFmtId="0" fontId="20" fillId="7" borderId="52" xfId="0" applyFont="1" applyFill="1" applyBorder="1" applyAlignment="1">
      <alignment horizontal="left" vertical="center"/>
    </xf>
    <xf numFmtId="0" fontId="46" fillId="7" borderId="52" xfId="0" applyFont="1" applyFill="1" applyBorder="1" applyAlignment="1">
      <alignment horizontal="left" vertical="center"/>
    </xf>
    <xf numFmtId="0" fontId="47" fillId="7" borderId="52" xfId="0" applyFont="1" applyFill="1" applyBorder="1" applyAlignment="1">
      <alignment horizontal="left" vertical="center"/>
    </xf>
    <xf numFmtId="0" fontId="20" fillId="7" borderId="53" xfId="0" applyFont="1" applyFill="1" applyBorder="1" applyAlignment="1">
      <alignment horizontal="left" vertical="center"/>
    </xf>
    <xf numFmtId="0" fontId="0" fillId="0" borderId="56" xfId="0" applyBorder="1" applyAlignment="1">
      <alignment horizontal="left" vertical="center"/>
    </xf>
    <xf numFmtId="0" fontId="0" fillId="0" borderId="53" xfId="0" applyFont="1" applyBorder="1" applyAlignment="1">
      <alignment horizontal="left" vertical="center"/>
    </xf>
    <xf numFmtId="49" fontId="0" fillId="0" borderId="57" xfId="0" applyNumberFormat="1" applyBorder="1" applyAlignment="1">
      <alignment horizontal="left" vertical="center"/>
    </xf>
    <xf numFmtId="0" fontId="0" fillId="6" borderId="57" xfId="0" applyFill="1" applyBorder="1" applyAlignment="1">
      <alignment horizontal="left" vertical="center"/>
    </xf>
    <xf numFmtId="0" fontId="20" fillId="7" borderId="50" xfId="0" applyFont="1" applyFill="1" applyBorder="1" applyAlignment="1">
      <alignment horizontal="left" vertical="center"/>
    </xf>
    <xf numFmtId="0" fontId="0" fillId="7" borderId="49" xfId="0" applyFont="1" applyFill="1" applyBorder="1" applyAlignment="1">
      <alignment horizontal="center" vertical="center"/>
    </xf>
    <xf numFmtId="0" fontId="0" fillId="7" borderId="49" xfId="0" applyFont="1" applyFill="1" applyBorder="1" applyAlignment="1">
      <alignment horizontal="left" vertical="center"/>
    </xf>
    <xf numFmtId="49" fontId="0" fillId="0" borderId="49" xfId="0" applyNumberFormat="1" applyFont="1" applyFill="1" applyBorder="1" applyAlignment="1">
      <alignment horizontal="left" vertical="center"/>
    </xf>
    <xf numFmtId="0" fontId="0" fillId="0" borderId="49" xfId="0" applyFont="1" applyFill="1" applyBorder="1" applyAlignment="1">
      <alignment horizontal="center" vertical="center"/>
    </xf>
    <xf numFmtId="0" fontId="0" fillId="0" borderId="49" xfId="0" applyFont="1" applyFill="1" applyBorder="1" applyAlignment="1">
      <alignment horizontal="left" vertical="center"/>
    </xf>
    <xf numFmtId="0" fontId="0" fillId="11" borderId="48" xfId="0" applyFill="1" applyBorder="1" applyAlignment="1">
      <alignment horizontal="center" vertical="center"/>
    </xf>
    <xf numFmtId="0" fontId="0" fillId="0" borderId="55" xfId="0" applyFont="1" applyFill="1" applyBorder="1" applyAlignment="1">
      <alignment horizontal="center" vertical="center"/>
    </xf>
    <xf numFmtId="49" fontId="0" fillId="0" borderId="56" xfId="0" applyNumberFormat="1" applyBorder="1" applyAlignment="1">
      <alignment horizontal="left" vertical="center"/>
    </xf>
    <xf numFmtId="0" fontId="0" fillId="0" borderId="58" xfId="0" applyBorder="1" applyAlignment="1">
      <alignment horizontal="left" vertical="center"/>
    </xf>
    <xf numFmtId="0" fontId="0" fillId="0" borderId="53" xfId="0" applyFont="1" applyFill="1" applyBorder="1" applyAlignment="1">
      <alignment horizontal="left" vertical="center"/>
    </xf>
    <xf numFmtId="0" fontId="0" fillId="0" borderId="0" xfId="0" applyFill="1" applyBorder="1"/>
    <xf numFmtId="0" fontId="0" fillId="0" borderId="0" xfId="0" applyFill="1" applyBorder="1" applyAlignment="1">
      <alignment vertical="center"/>
    </xf>
    <xf numFmtId="49" fontId="0" fillId="0" borderId="0" xfId="0" applyNumberFormat="1" applyFill="1" applyBorder="1"/>
    <xf numFmtId="0" fontId="0" fillId="0" borderId="0" xfId="0" applyFill="1" applyBorder="1" applyAlignment="1"/>
    <xf numFmtId="0" fontId="0" fillId="0" borderId="52" xfId="0" applyFill="1" applyBorder="1" applyAlignment="1">
      <alignment horizontal="center" vertical="center"/>
    </xf>
    <xf numFmtId="0" fontId="0" fillId="0" borderId="52" xfId="0" applyFill="1" applyBorder="1" applyAlignment="1">
      <alignment horizontal="left" vertical="center"/>
    </xf>
    <xf numFmtId="49" fontId="20" fillId="0" borderId="68" xfId="0" applyNumberFormat="1" applyFont="1" applyFill="1" applyBorder="1" applyAlignment="1">
      <alignment horizontal="center" vertical="center"/>
    </xf>
    <xf numFmtId="49" fontId="0" fillId="0" borderId="53" xfId="0" applyNumberFormat="1" applyFill="1" applyBorder="1" applyAlignment="1">
      <alignment horizontal="center" vertical="center"/>
    </xf>
    <xf numFmtId="0" fontId="0" fillId="0" borderId="54" xfId="0" applyFill="1" applyBorder="1" applyAlignment="1">
      <alignment horizontal="center" vertical="center"/>
    </xf>
    <xf numFmtId="0" fontId="0" fillId="0" borderId="55" xfId="0" applyFill="1" applyBorder="1" applyAlignment="1">
      <alignment horizontal="center" vertical="center"/>
    </xf>
    <xf numFmtId="0" fontId="20" fillId="0" borderId="70" xfId="0" applyFont="1" applyFill="1" applyBorder="1" applyAlignment="1">
      <alignment horizontal="center" vertical="center"/>
    </xf>
    <xf numFmtId="0" fontId="20" fillId="0" borderId="72" xfId="0" applyFont="1" applyFill="1" applyBorder="1" applyAlignment="1">
      <alignment horizontal="center" vertical="center"/>
    </xf>
    <xf numFmtId="49" fontId="0" fillId="11" borderId="43" xfId="0" applyNumberFormat="1" applyFill="1" applyBorder="1" applyAlignment="1">
      <alignment horizontal="left" vertical="center"/>
    </xf>
    <xf numFmtId="49" fontId="0" fillId="7" borderId="50" xfId="0" applyNumberFormat="1" applyFont="1" applyFill="1" applyBorder="1" applyAlignment="1">
      <alignment horizontal="center" vertical="center"/>
    </xf>
    <xf numFmtId="0" fontId="0" fillId="7" borderId="54" xfId="0" applyFont="1" applyFill="1" applyBorder="1" applyAlignment="1">
      <alignment horizontal="center" vertical="center"/>
    </xf>
    <xf numFmtId="0" fontId="0" fillId="7" borderId="55" xfId="0" applyFont="1" applyFill="1" applyBorder="1" applyAlignment="1">
      <alignment horizontal="center" vertical="center"/>
    </xf>
    <xf numFmtId="0" fontId="0" fillId="7" borderId="51" xfId="0" applyFont="1" applyFill="1" applyBorder="1" applyAlignment="1">
      <alignment horizontal="center" vertical="center"/>
    </xf>
    <xf numFmtId="0" fontId="0" fillId="7" borderId="55" xfId="0" applyFill="1" applyBorder="1" applyAlignment="1">
      <alignment horizontal="center" vertical="center"/>
    </xf>
    <xf numFmtId="0" fontId="20" fillId="0" borderId="67" xfId="0" applyFont="1" applyFill="1" applyBorder="1" applyAlignment="1">
      <alignment horizontal="center" vertical="center"/>
    </xf>
    <xf numFmtId="0" fontId="0" fillId="7" borderId="51" xfId="0" applyFont="1" applyFill="1" applyBorder="1" applyAlignment="1">
      <alignment horizontal="left" vertical="center"/>
    </xf>
    <xf numFmtId="0" fontId="0" fillId="0" borderId="55" xfId="0" applyFill="1" applyBorder="1" applyAlignment="1">
      <alignment horizontal="left" vertical="center"/>
    </xf>
    <xf numFmtId="0" fontId="0" fillId="7" borderId="55" xfId="0" applyFill="1" applyBorder="1" applyAlignment="1">
      <alignment horizontal="left" vertical="center"/>
    </xf>
    <xf numFmtId="0" fontId="0" fillId="0" borderId="55" xfId="0" applyFont="1" applyFill="1" applyBorder="1" applyAlignment="1">
      <alignment horizontal="left" vertical="center"/>
    </xf>
    <xf numFmtId="0" fontId="0" fillId="0" borderId="52" xfId="0" applyFont="1" applyFill="1" applyBorder="1" applyAlignment="1">
      <alignment horizontal="center" vertical="center"/>
    </xf>
    <xf numFmtId="0" fontId="0" fillId="0" borderId="52" xfId="0" applyNumberFormat="1" applyFill="1" applyBorder="1" applyAlignment="1">
      <alignment horizontal="center" vertical="center"/>
    </xf>
    <xf numFmtId="49" fontId="0" fillId="0" borderId="69" xfId="0" applyNumberFormat="1" applyFill="1" applyBorder="1" applyAlignment="1">
      <alignment horizontal="center" vertical="center"/>
    </xf>
    <xf numFmtId="0" fontId="0" fillId="0" borderId="71" xfId="0" applyFill="1" applyBorder="1" applyAlignment="1">
      <alignment horizontal="center" vertical="center"/>
    </xf>
    <xf numFmtId="0" fontId="0" fillId="0" borderId="73" xfId="0" applyFont="1" applyFill="1" applyBorder="1" applyAlignment="1">
      <alignment horizontal="center" vertical="center"/>
    </xf>
    <xf numFmtId="0" fontId="0" fillId="0" borderId="57" xfId="0" applyNumberFormat="1" applyFill="1" applyBorder="1" applyAlignment="1">
      <alignment horizontal="center" vertical="center"/>
    </xf>
    <xf numFmtId="0" fontId="0" fillId="0" borderId="73" xfId="0" applyFill="1" applyBorder="1" applyAlignment="1">
      <alignment horizontal="left" vertical="center"/>
    </xf>
    <xf numFmtId="0" fontId="0" fillId="0" borderId="57" xfId="0" applyFill="1" applyBorder="1" applyAlignment="1">
      <alignment horizontal="left" vertical="center"/>
    </xf>
    <xf numFmtId="49" fontId="0" fillId="11" borderId="44" xfId="0" applyNumberFormat="1" applyFill="1" applyBorder="1" applyAlignment="1">
      <alignment horizontal="left" vertical="center"/>
    </xf>
    <xf numFmtId="0" fontId="0" fillId="0" borderId="73" xfId="0" applyFill="1" applyBorder="1" applyAlignment="1">
      <alignment horizontal="center" vertical="center"/>
    </xf>
    <xf numFmtId="0" fontId="43" fillId="0" borderId="37" xfId="0" applyFont="1" applyBorder="1" applyAlignment="1">
      <alignment horizontal="center"/>
    </xf>
    <xf numFmtId="0" fontId="43" fillId="0" borderId="38" xfId="0" applyFont="1" applyBorder="1" applyAlignment="1">
      <alignment horizontal="center"/>
    </xf>
    <xf numFmtId="0" fontId="43" fillId="0" borderId="39" xfId="0" applyFont="1" applyBorder="1" applyAlignment="1">
      <alignment horizontal="center"/>
    </xf>
    <xf numFmtId="0" fontId="16" fillId="0" borderId="37" xfId="0" applyFont="1" applyFill="1" applyBorder="1" applyAlignment="1">
      <alignment horizontal="center" vertical="center"/>
    </xf>
    <xf numFmtId="0" fontId="16" fillId="0" borderId="38" xfId="0" applyFont="1" applyFill="1" applyBorder="1" applyAlignment="1">
      <alignment horizontal="center" vertical="center"/>
    </xf>
    <xf numFmtId="0" fontId="16" fillId="0" borderId="39" xfId="0" applyFont="1" applyFill="1" applyBorder="1" applyAlignment="1">
      <alignment horizontal="center" vertical="center"/>
    </xf>
    <xf numFmtId="0" fontId="38" fillId="6" borderId="28" xfId="2" applyFont="1" applyFill="1" applyBorder="1" applyAlignment="1">
      <alignment horizontal="right" vertical="center" wrapText="1"/>
    </xf>
    <xf numFmtId="0" fontId="38" fillId="6" borderId="29" xfId="2" applyFont="1" applyFill="1" applyBorder="1" applyAlignment="1">
      <alignment horizontal="right" vertical="center" wrapText="1"/>
    </xf>
    <xf numFmtId="0" fontId="38" fillId="6" borderId="30" xfId="2" applyFont="1" applyFill="1" applyBorder="1" applyAlignment="1">
      <alignment horizontal="right" vertical="center" wrapText="1"/>
    </xf>
    <xf numFmtId="0" fontId="38" fillId="6" borderId="31" xfId="2" applyFont="1" applyFill="1" applyBorder="1" applyAlignment="1">
      <alignment horizontal="right" vertical="center" wrapText="1"/>
    </xf>
    <xf numFmtId="0" fontId="38" fillId="6" borderId="32" xfId="2" applyFont="1" applyFill="1" applyBorder="1" applyAlignment="1">
      <alignment horizontal="right" vertical="center" wrapText="1"/>
    </xf>
    <xf numFmtId="0" fontId="38" fillId="6" borderId="33" xfId="2" applyFont="1" applyFill="1" applyBorder="1" applyAlignment="1">
      <alignment horizontal="right" vertical="center" wrapText="1"/>
    </xf>
    <xf numFmtId="0" fontId="39" fillId="0" borderId="0" xfId="0" applyFont="1" applyAlignment="1">
      <alignment horizontal="center" vertical="center"/>
    </xf>
    <xf numFmtId="0" fontId="39" fillId="0" borderId="0" xfId="0" applyFont="1" applyBorder="1" applyAlignment="1">
      <alignment horizontal="center" vertical="center"/>
    </xf>
    <xf numFmtId="0" fontId="22" fillId="2" borderId="4" xfId="0" applyFont="1" applyFill="1" applyBorder="1" applyAlignment="1">
      <alignment horizontal="center" vertical="center"/>
    </xf>
    <xf numFmtId="0" fontId="22" fillId="2" borderId="0" xfId="0" applyFont="1" applyFill="1" applyBorder="1" applyAlignment="1">
      <alignment horizontal="center" vertical="center"/>
    </xf>
    <xf numFmtId="0" fontId="22" fillId="2" borderId="5" xfId="0" applyFont="1" applyFill="1" applyBorder="1" applyAlignment="1">
      <alignment horizontal="center" vertical="center"/>
    </xf>
    <xf numFmtId="0" fontId="22" fillId="2" borderId="3"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0" xfId="0" applyFont="1" applyFill="1" applyBorder="1" applyAlignment="1">
      <alignment horizontal="center" vertical="center"/>
    </xf>
    <xf numFmtId="0" fontId="3" fillId="5" borderId="5" xfId="0" applyFont="1" applyFill="1" applyBorder="1" applyAlignment="1">
      <alignment horizontal="center" vertical="center"/>
    </xf>
    <xf numFmtId="0" fontId="27" fillId="0" borderId="0" xfId="2" applyFont="1" applyFill="1" applyBorder="1" applyAlignment="1">
      <alignment horizontal="left" vertical="top" indent="1"/>
    </xf>
    <xf numFmtId="0" fontId="0" fillId="0" borderId="0" xfId="0" applyBorder="1" applyAlignment="1">
      <alignment horizontal="center"/>
    </xf>
    <xf numFmtId="0" fontId="22" fillId="2" borderId="3" xfId="0" applyNumberFormat="1" applyFont="1" applyFill="1" applyBorder="1" applyAlignment="1">
      <alignment horizontal="center" vertical="center"/>
    </xf>
    <xf numFmtId="0" fontId="16" fillId="10" borderId="0" xfId="0" applyFont="1" applyFill="1" applyBorder="1" applyAlignment="1" applyProtection="1">
      <alignment horizontal="center"/>
      <protection locked="0"/>
    </xf>
    <xf numFmtId="14" fontId="16" fillId="10" borderId="0" xfId="0" applyNumberFormat="1" applyFont="1" applyFill="1" applyBorder="1" applyAlignment="1" applyProtection="1">
      <alignment horizontal="center" vertical="center"/>
      <protection locked="0"/>
    </xf>
    <xf numFmtId="0" fontId="40" fillId="2" borderId="27" xfId="0" applyFont="1" applyFill="1" applyBorder="1" applyAlignment="1">
      <alignment horizontal="left" vertical="center" indent="1"/>
    </xf>
    <xf numFmtId="0" fontId="40" fillId="2" borderId="34" xfId="0" applyFont="1" applyFill="1" applyBorder="1" applyAlignment="1">
      <alignment horizontal="left" vertical="center" indent="1"/>
    </xf>
    <xf numFmtId="0" fontId="41" fillId="2" borderId="34" xfId="0" applyFont="1" applyFill="1" applyBorder="1" applyAlignment="1" applyProtection="1">
      <alignment horizontal="left" vertical="top" wrapText="1"/>
      <protection locked="0"/>
    </xf>
    <xf numFmtId="0" fontId="41" fillId="2" borderId="29" xfId="0" applyFont="1" applyFill="1" applyBorder="1" applyAlignment="1" applyProtection="1">
      <alignment horizontal="left" vertical="top" wrapText="1"/>
      <protection locked="0"/>
    </xf>
    <xf numFmtId="0" fontId="41" fillId="2" borderId="30" xfId="0" applyFont="1" applyFill="1" applyBorder="1" applyAlignment="1" applyProtection="1">
      <alignment horizontal="left" vertical="top" wrapText="1"/>
      <protection locked="0"/>
    </xf>
    <xf numFmtId="0" fontId="41" fillId="2" borderId="59" xfId="0" applyFont="1" applyFill="1" applyBorder="1" applyAlignment="1" applyProtection="1">
      <alignment horizontal="left" vertical="top" wrapText="1"/>
      <protection locked="0"/>
    </xf>
    <xf numFmtId="0" fontId="41" fillId="2" borderId="0" xfId="0" applyFont="1" applyFill="1" applyBorder="1" applyAlignment="1" applyProtection="1">
      <alignment horizontal="left" vertical="top" wrapText="1"/>
      <protection locked="0"/>
    </xf>
    <xf numFmtId="0" fontId="41" fillId="2" borderId="60" xfId="0" applyFont="1" applyFill="1" applyBorder="1" applyAlignment="1" applyProtection="1">
      <alignment horizontal="left" vertical="top" wrapText="1"/>
      <protection locked="0"/>
    </xf>
    <xf numFmtId="0" fontId="41" fillId="2" borderId="31" xfId="0" applyFont="1" applyFill="1" applyBorder="1" applyAlignment="1" applyProtection="1">
      <alignment horizontal="left" vertical="top" wrapText="1"/>
      <protection locked="0"/>
    </xf>
    <xf numFmtId="0" fontId="41" fillId="2" borderId="32" xfId="0" applyFont="1" applyFill="1" applyBorder="1" applyAlignment="1" applyProtection="1">
      <alignment horizontal="left" vertical="top" wrapText="1"/>
      <protection locked="0"/>
    </xf>
    <xf numFmtId="0" fontId="41" fillId="2" borderId="33" xfId="0" applyFont="1" applyFill="1" applyBorder="1" applyAlignment="1" applyProtection="1">
      <alignment horizontal="left" vertical="top" wrapText="1"/>
      <protection locked="0"/>
    </xf>
    <xf numFmtId="14" fontId="41" fillId="2" borderId="34" xfId="0" applyNumberFormat="1" applyFont="1" applyFill="1" applyBorder="1" applyAlignment="1" applyProtection="1">
      <alignment horizontal="left" vertical="center"/>
      <protection locked="0"/>
    </xf>
    <xf numFmtId="14" fontId="41" fillId="2" borderId="35" xfId="0" applyNumberFormat="1" applyFont="1" applyFill="1" applyBorder="1" applyAlignment="1" applyProtection="1">
      <alignment horizontal="left" vertical="center"/>
      <protection locked="0"/>
    </xf>
    <xf numFmtId="14" fontId="41" fillId="2" borderId="36" xfId="0" applyNumberFormat="1" applyFont="1" applyFill="1" applyBorder="1" applyAlignment="1" applyProtection="1">
      <alignment horizontal="left" vertical="center"/>
      <protection locked="0"/>
    </xf>
    <xf numFmtId="0" fontId="41" fillId="2" borderId="34" xfId="0" applyFont="1" applyFill="1" applyBorder="1" applyAlignment="1" applyProtection="1">
      <alignment horizontal="left" vertical="center"/>
      <protection locked="0"/>
    </xf>
    <xf numFmtId="0" fontId="41" fillId="2" borderId="35" xfId="0" applyFont="1" applyFill="1" applyBorder="1" applyAlignment="1" applyProtection="1">
      <alignment horizontal="left" vertical="center"/>
      <protection locked="0"/>
    </xf>
    <xf numFmtId="0" fontId="41" fillId="2" borderId="36" xfId="0" applyFont="1" applyFill="1" applyBorder="1" applyAlignment="1" applyProtection="1">
      <alignment horizontal="left" vertical="center"/>
      <protection locked="0"/>
    </xf>
    <xf numFmtId="14" fontId="42" fillId="2" borderId="27" xfId="0" applyNumberFormat="1" applyFont="1" applyFill="1" applyBorder="1" applyAlignment="1">
      <alignment horizontal="left" indent="1"/>
    </xf>
    <xf numFmtId="0" fontId="40" fillId="2" borderId="28" xfId="0" applyFont="1" applyFill="1" applyBorder="1" applyAlignment="1">
      <alignment horizontal="left" vertical="center"/>
    </xf>
    <xf numFmtId="0" fontId="40" fillId="2" borderId="29" xfId="0" applyFont="1" applyFill="1" applyBorder="1" applyAlignment="1">
      <alignment horizontal="left" vertical="center"/>
    </xf>
    <xf numFmtId="0" fontId="40" fillId="2" borderId="30" xfId="0" applyFont="1" applyFill="1" applyBorder="1" applyAlignment="1">
      <alignment horizontal="left" vertical="center"/>
    </xf>
    <xf numFmtId="0" fontId="40" fillId="2" borderId="31" xfId="0" applyFont="1" applyFill="1" applyBorder="1" applyAlignment="1">
      <alignment horizontal="left" vertical="center"/>
    </xf>
    <xf numFmtId="0" fontId="40" fillId="2" borderId="32" xfId="0" applyFont="1" applyFill="1" applyBorder="1" applyAlignment="1">
      <alignment horizontal="left" vertical="center"/>
    </xf>
    <xf numFmtId="0" fontId="40" fillId="2" borderId="33" xfId="0" applyFont="1" applyFill="1" applyBorder="1" applyAlignment="1">
      <alignment horizontal="left" vertical="center"/>
    </xf>
    <xf numFmtId="0" fontId="20" fillId="0" borderId="68" xfId="0" applyFont="1" applyFill="1" applyBorder="1" applyAlignment="1">
      <alignment horizontal="left" vertical="center"/>
    </xf>
    <xf numFmtId="0" fontId="20" fillId="0" borderId="70" xfId="0" applyFont="1" applyFill="1" applyBorder="1" applyAlignment="1">
      <alignment horizontal="left" vertical="center"/>
    </xf>
    <xf numFmtId="0" fontId="20" fillId="0" borderId="72" xfId="0" applyFont="1" applyFill="1" applyBorder="1" applyAlignment="1">
      <alignment horizontal="left" vertical="center"/>
    </xf>
    <xf numFmtId="49" fontId="0" fillId="11" borderId="41" xfId="0" applyNumberFormat="1" applyFill="1" applyBorder="1" applyAlignment="1">
      <alignment horizontal="left" vertical="center"/>
    </xf>
    <xf numFmtId="49" fontId="0" fillId="11" borderId="42" xfId="0" applyNumberFormat="1" applyFill="1" applyBorder="1" applyAlignment="1">
      <alignment horizontal="left" vertical="center"/>
    </xf>
    <xf numFmtId="49" fontId="0" fillId="11" borderId="43" xfId="0" applyNumberFormat="1" applyFill="1" applyBorder="1" applyAlignment="1">
      <alignment horizontal="left" vertical="center"/>
    </xf>
    <xf numFmtId="0" fontId="16" fillId="0" borderId="45" xfId="0" applyFont="1" applyFill="1" applyBorder="1" applyAlignment="1">
      <alignment horizontal="center" vertical="center"/>
    </xf>
    <xf numFmtId="0" fontId="16" fillId="0" borderId="46" xfId="0" applyFont="1" applyFill="1" applyBorder="1" applyAlignment="1">
      <alignment horizontal="center" vertical="center"/>
    </xf>
    <xf numFmtId="0" fontId="16" fillId="0" borderId="47" xfId="0" applyFont="1" applyFill="1" applyBorder="1" applyAlignment="1">
      <alignment horizontal="center" vertical="center"/>
    </xf>
    <xf numFmtId="0" fontId="33" fillId="0" borderId="0" xfId="2" applyFont="1" applyAlignment="1">
      <alignment horizontal="left"/>
    </xf>
    <xf numFmtId="0" fontId="10" fillId="0" borderId="0" xfId="2" applyBorder="1" applyAlignment="1">
      <alignment horizontal="left"/>
    </xf>
    <xf numFmtId="49" fontId="0" fillId="0" borderId="50" xfId="0" applyNumberFormat="1" applyFill="1" applyBorder="1" applyAlignment="1">
      <alignment horizontal="center" vertical="center"/>
    </xf>
    <xf numFmtId="49" fontId="0" fillId="0" borderId="50" xfId="0" applyNumberFormat="1" applyFont="1" applyFill="1" applyBorder="1" applyAlignment="1">
      <alignment horizontal="center" vertical="center"/>
    </xf>
    <xf numFmtId="0" fontId="0" fillId="0" borderId="54" xfId="0" applyFont="1" applyFill="1" applyBorder="1" applyAlignment="1">
      <alignment horizontal="center" vertical="center"/>
    </xf>
    <xf numFmtId="49" fontId="0" fillId="0" borderId="74" xfId="0" applyNumberFormat="1" applyFill="1" applyBorder="1" applyAlignment="1">
      <alignment horizontal="center" vertical="center"/>
    </xf>
    <xf numFmtId="0" fontId="0" fillId="0" borderId="0" xfId="0" applyFill="1" applyBorder="1" applyAlignment="1">
      <alignment horizontal="center" vertical="center"/>
    </xf>
    <xf numFmtId="0" fontId="0" fillId="0" borderId="75" xfId="0" applyFont="1" applyFill="1" applyBorder="1" applyAlignment="1">
      <alignment horizontal="center" vertical="center"/>
    </xf>
    <xf numFmtId="0" fontId="0" fillId="0" borderId="75" xfId="0" applyFill="1" applyBorder="1" applyAlignment="1">
      <alignment horizontal="center" vertical="center"/>
    </xf>
    <xf numFmtId="0" fontId="0" fillId="0" borderId="76" xfId="0" applyFill="1" applyBorder="1" applyAlignment="1">
      <alignment horizontal="left" vertical="center"/>
    </xf>
  </cellXfs>
  <cellStyles count="3">
    <cellStyle name="Link" xfId="2" builtinId="8"/>
    <cellStyle name="Prozent" xfId="1" builtinId="5"/>
    <cellStyle name="Standard" xfId="0" builtinId="0"/>
  </cellStyles>
  <dxfs count="81">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rgb="FFFF5B5B"/>
        </patternFill>
      </fill>
    </dxf>
    <dxf>
      <fill>
        <patternFill>
          <bgColor theme="9"/>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rgb="FFFF5B5B"/>
        </patternFill>
      </fill>
    </dxf>
    <dxf>
      <fill>
        <patternFill>
          <bgColor theme="9"/>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theme="2" tint="-9.9948118533890809E-2"/>
        </patternFill>
      </fill>
    </dxf>
    <dxf>
      <font>
        <color theme="1"/>
      </font>
      <fill>
        <patternFill>
          <bgColor rgb="FFFF5B5B"/>
        </patternFill>
      </fill>
    </dxf>
    <dxf>
      <fill>
        <patternFill>
          <bgColor theme="9"/>
        </patternFill>
      </fill>
    </dxf>
    <dxf>
      <fill>
        <patternFill>
          <bgColor theme="2" tint="-9.9948118533890809E-2"/>
        </patternFill>
      </fill>
    </dxf>
    <dxf>
      <fill>
        <patternFill>
          <bgColor rgb="FFF6F6F6"/>
        </patternFill>
      </fill>
    </dxf>
    <dxf>
      <font>
        <color theme="1"/>
      </font>
      <fill>
        <patternFill>
          <bgColor theme="2" tint="-9.9948118533890809E-2"/>
        </patternFill>
      </fill>
    </dxf>
    <dxf>
      <font>
        <color theme="1"/>
      </font>
      <fill>
        <patternFill>
          <bgColor rgb="FFFF5B5B"/>
        </patternFill>
      </fill>
    </dxf>
    <dxf>
      <fill>
        <patternFill>
          <bgColor theme="9"/>
        </patternFill>
      </fill>
    </dxf>
    <dxf>
      <fill>
        <patternFill>
          <bgColor theme="2" tint="-9.9948118533890809E-2"/>
        </patternFill>
      </fill>
    </dxf>
    <dxf>
      <fill>
        <patternFill>
          <bgColor rgb="FFF6F6F6"/>
        </patternFill>
      </fill>
    </dxf>
    <dxf>
      <font>
        <color theme="1"/>
      </font>
      <fill>
        <patternFill>
          <bgColor theme="2" tint="-9.9948118533890809E-2"/>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color theme="1"/>
      </font>
      <fill>
        <patternFill>
          <bgColor rgb="FFFF5B5B"/>
        </patternFill>
      </fill>
    </dxf>
    <dxf>
      <fill>
        <patternFill>
          <bgColor theme="9"/>
        </patternFill>
      </fill>
    </dxf>
    <dxf>
      <fill>
        <patternFill>
          <bgColor rgb="FFDEDEDE"/>
        </patternFill>
      </fill>
    </dxf>
    <dxf>
      <fill>
        <patternFill>
          <bgColor theme="2" tint="-9.9948118533890809E-2"/>
        </patternFill>
      </fill>
    </dxf>
    <dxf>
      <fill>
        <patternFill>
          <bgColor rgb="FFF6F6F6"/>
        </patternFill>
      </fill>
    </dxf>
    <dxf>
      <fill>
        <patternFill>
          <bgColor rgb="FF70AD47"/>
        </patternFill>
      </fill>
    </dxf>
    <dxf>
      <fill>
        <patternFill>
          <bgColor theme="9" tint="0.39994506668294322"/>
        </patternFill>
      </fill>
    </dxf>
    <dxf>
      <fill>
        <patternFill patternType="solid">
          <fgColor auto="1"/>
          <bgColor rgb="FFDEDEDE"/>
        </patternFill>
      </fill>
    </dxf>
    <dxf>
      <fill>
        <patternFill>
          <bgColor rgb="FF375623"/>
        </patternFill>
      </fill>
    </dxf>
    <dxf>
      <fill>
        <patternFill>
          <bgColor rgb="FFFF0000"/>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gradientFill>
          <stop position="0">
            <color theme="0"/>
          </stop>
          <stop position="0.5">
            <color theme="7" tint="0.40000610370189521"/>
          </stop>
          <stop position="1">
            <color theme="0"/>
          </stop>
        </gradientFill>
      </fill>
      <border>
        <left style="thin">
          <color rgb="FFFF0000"/>
        </left>
        <right style="thin">
          <color rgb="FFFF0000"/>
        </right>
        <top style="thin">
          <color theme="7"/>
        </top>
        <bottom style="thin">
          <color theme="7"/>
        </bottom>
      </border>
    </dxf>
    <dxf>
      <font>
        <color theme="4" tint="-0.499984740745262"/>
      </font>
      <fill>
        <patternFill>
          <bgColor theme="4" tint="0.59996337778862885"/>
        </patternFill>
      </fill>
      <border>
        <left style="thin">
          <color theme="8" tint="0.39994506668294322"/>
        </left>
        <right style="thin">
          <color theme="8" tint="0.39994506668294322"/>
        </right>
        <top style="thin">
          <color theme="8" tint="0.39994506668294322"/>
        </top>
        <bottom style="thin">
          <color theme="8" tint="0.39994506668294322"/>
        </bottom>
        <vertical/>
        <horizontal/>
      </border>
    </dxf>
  </dxfs>
  <tableStyles count="0" defaultTableStyle="TableStyleMedium2" defaultPivotStyle="PivotStyleLight16"/>
  <colors>
    <mruColors>
      <color rgb="FF71AF47"/>
      <color rgb="FFFFF8E5"/>
      <color rgb="FFDEDEDE"/>
      <color rgb="FFD98FC6"/>
      <color rgb="FF949494"/>
      <color rgb="FFF6F6F6"/>
      <color rgb="FFF8F8F8"/>
      <color rgb="FFF5F5F5"/>
      <color rgb="FFF3F3F3"/>
      <color rgb="FFE4E4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hyperlink" Target="http://www.alle-meine-vorlagen.de" TargetMode="External"/></Relationships>
</file>

<file path=xl/drawings/drawing1.xml><?xml version="1.0" encoding="utf-8"?>
<xdr:wsDr xmlns:xdr="http://schemas.openxmlformats.org/drawingml/2006/spreadsheetDrawing" xmlns:a="http://schemas.openxmlformats.org/drawingml/2006/main">
  <xdr:twoCellAnchor editAs="oneCell">
    <xdr:from>
      <xdr:col>7</xdr:col>
      <xdr:colOff>54199</xdr:colOff>
      <xdr:row>0</xdr:row>
      <xdr:rowOff>114151</xdr:rowOff>
    </xdr:from>
    <xdr:to>
      <xdr:col>11</xdr:col>
      <xdr:colOff>1669</xdr:colOff>
      <xdr:row>1</xdr:row>
      <xdr:rowOff>593856</xdr:rowOff>
    </xdr:to>
    <xdr:pic>
      <xdr:nvPicPr>
        <xdr:cNvPr id="4" name="Grafik 3">
          <a:extLst>
            <a:ext uri="{FF2B5EF4-FFF2-40B4-BE49-F238E27FC236}">
              <a16:creationId xmlns:a16="http://schemas.microsoft.com/office/drawing/2014/main" id="{6883082C-1A7B-420C-BA84-03BEA93BFB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76718" y="114151"/>
          <a:ext cx="2454401" cy="6753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4648199</xdr:colOff>
      <xdr:row>0</xdr:row>
      <xdr:rowOff>66675</xdr:rowOff>
    </xdr:from>
    <xdr:to>
      <xdr:col>4</xdr:col>
      <xdr:colOff>742533</xdr:colOff>
      <xdr:row>2</xdr:row>
      <xdr:rowOff>101466</xdr:rowOff>
    </xdr:to>
    <xdr:pic>
      <xdr:nvPicPr>
        <xdr:cNvPr id="4" name="Grafik 3">
          <a:hlinkClick xmlns:r="http://schemas.openxmlformats.org/officeDocument/2006/relationships" r:id="rId1"/>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stretch>
          <a:fillRect/>
        </a:stretch>
      </xdr:blipFill>
      <xdr:spPr>
        <a:xfrm>
          <a:off x="4648199" y="66675"/>
          <a:ext cx="3428584" cy="482466"/>
        </a:xfrm>
        <a:prstGeom prst="rect">
          <a:avLst/>
        </a:prstGeom>
        <a:ln>
          <a:noFill/>
        </a:ln>
        <a:effectLst/>
      </xdr:spPr>
    </xdr:pic>
    <xdr:clientData/>
  </xdr:twoCellAnchor>
  <xdr:twoCellAnchor editAs="oneCell">
    <xdr:from>
      <xdr:col>0</xdr:col>
      <xdr:colOff>0</xdr:colOff>
      <xdr:row>8</xdr:row>
      <xdr:rowOff>58615</xdr:rowOff>
    </xdr:from>
    <xdr:to>
      <xdr:col>6</xdr:col>
      <xdr:colOff>636944</xdr:colOff>
      <xdr:row>8</xdr:row>
      <xdr:rowOff>5083572</xdr:rowOff>
    </xdr:to>
    <xdr:pic>
      <xdr:nvPicPr>
        <xdr:cNvPr id="6" name="Grafik 5">
          <a:extLst>
            <a:ext uri="{FF2B5EF4-FFF2-40B4-BE49-F238E27FC236}">
              <a16:creationId xmlns:a16="http://schemas.microsoft.com/office/drawing/2014/main" id="{B0478EDC-B65C-44D2-A7DB-7B884B4F30FF}"/>
            </a:ext>
          </a:extLst>
        </xdr:cNvPr>
        <xdr:cNvPicPr>
          <a:picLocks noChangeAspect="1"/>
        </xdr:cNvPicPr>
      </xdr:nvPicPr>
      <xdr:blipFill>
        <a:blip xmlns:r="http://schemas.openxmlformats.org/officeDocument/2006/relationships" r:embed="rId3"/>
        <a:stretch>
          <a:fillRect/>
        </a:stretch>
      </xdr:blipFill>
      <xdr:spPr>
        <a:xfrm>
          <a:off x="0" y="2271346"/>
          <a:ext cx="9495194" cy="5024957"/>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hyperlink" Target="http://www.alle-meine-vorlagen.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F39E8-0870-4052-9CD2-D4667D7C6B47}">
  <sheetPr>
    <tabColor theme="5" tint="0.39997558519241921"/>
  </sheetPr>
  <dimension ref="B1:F33"/>
  <sheetViews>
    <sheetView tabSelected="1" zoomScaleNormal="100" workbookViewId="0">
      <selection activeCell="N10" sqref="B1:N10"/>
    </sheetView>
  </sheetViews>
  <sheetFormatPr baseColWidth="10" defaultColWidth="11.44140625" defaultRowHeight="14.4"/>
  <cols>
    <col min="2" max="2" width="3.88671875" bestFit="1" customWidth="1"/>
    <col min="3" max="3" width="4.44140625" style="105" bestFit="1" customWidth="1"/>
    <col min="4" max="4" width="74.5546875" customWidth="1"/>
    <col min="5" max="5" width="5.109375" bestFit="1" customWidth="1"/>
    <col min="6" max="6" width="6.77734375" bestFit="1" customWidth="1"/>
  </cols>
  <sheetData>
    <row r="1" spans="2:6" ht="15" thickBot="1"/>
    <row r="2" spans="2:6" ht="19.95" customHeight="1" thickBot="1">
      <c r="B2" s="183" t="s">
        <v>0</v>
      </c>
      <c r="C2" s="184"/>
      <c r="D2" s="184"/>
      <c r="E2" s="184"/>
      <c r="F2" s="185"/>
    </row>
    <row r="3" spans="2:6" ht="19.95" customHeight="1" thickBot="1">
      <c r="B3" s="186" t="s">
        <v>111</v>
      </c>
      <c r="C3" s="187"/>
      <c r="D3" s="187"/>
      <c r="E3" s="187"/>
      <c r="F3" s="188"/>
    </row>
    <row r="4" spans="2:6" s="1" customFormat="1" ht="19.95" customHeight="1" thickBot="1">
      <c r="B4" s="128" t="s">
        <v>129</v>
      </c>
      <c r="C4" s="129" t="s">
        <v>2</v>
      </c>
      <c r="D4" s="145" t="s">
        <v>3</v>
      </c>
      <c r="E4" s="129" t="s">
        <v>4</v>
      </c>
      <c r="F4" s="129" t="s">
        <v>5</v>
      </c>
    </row>
    <row r="5" spans="2:6" s="106" customFormat="1" ht="19.95" customHeight="1">
      <c r="B5" s="122" t="s">
        <v>6</v>
      </c>
      <c r="C5" s="123"/>
      <c r="D5" s="139" t="s">
        <v>131</v>
      </c>
      <c r="E5" s="124"/>
      <c r="F5" s="124"/>
    </row>
    <row r="6" spans="2:6" s="106" customFormat="1" ht="19.95" customHeight="1">
      <c r="B6" s="142" t="s">
        <v>130</v>
      </c>
      <c r="C6" s="143" t="s">
        <v>8</v>
      </c>
      <c r="D6" s="149" t="s">
        <v>173</v>
      </c>
      <c r="E6" s="144" t="s">
        <v>171</v>
      </c>
      <c r="F6" s="144" t="s">
        <v>172</v>
      </c>
    </row>
    <row r="7" spans="2:6" s="106" customFormat="1" ht="19.95" customHeight="1">
      <c r="B7" s="119" t="s">
        <v>132</v>
      </c>
      <c r="C7" s="96" t="s">
        <v>8</v>
      </c>
      <c r="D7" s="136" t="s">
        <v>211</v>
      </c>
      <c r="E7" s="114"/>
      <c r="F7" s="114"/>
    </row>
    <row r="8" spans="2:6" s="106" customFormat="1" ht="19.95" customHeight="1">
      <c r="B8" s="119" t="s">
        <v>174</v>
      </c>
      <c r="C8" s="96" t="s">
        <v>12</v>
      </c>
      <c r="D8" s="121" t="s">
        <v>133</v>
      </c>
      <c r="E8" s="114"/>
      <c r="F8" s="114"/>
    </row>
    <row r="9" spans="2:6" s="106" customFormat="1" ht="19.95" customHeight="1">
      <c r="B9" s="119" t="s">
        <v>175</v>
      </c>
      <c r="C9" s="96" t="s">
        <v>12</v>
      </c>
      <c r="D9" s="135" t="s">
        <v>134</v>
      </c>
      <c r="E9" s="114"/>
      <c r="F9" s="114"/>
    </row>
    <row r="10" spans="2:6" s="106" customFormat="1" ht="19.95" customHeight="1">
      <c r="B10" s="119" t="s">
        <v>176</v>
      </c>
      <c r="C10" s="96" t="s">
        <v>12</v>
      </c>
      <c r="D10" s="121" t="s">
        <v>135</v>
      </c>
      <c r="E10" s="114"/>
      <c r="F10" s="114"/>
    </row>
    <row r="11" spans="2:6" s="106" customFormat="1" ht="19.95" customHeight="1">
      <c r="B11" s="119" t="s">
        <v>177</v>
      </c>
      <c r="C11" s="96" t="s">
        <v>12</v>
      </c>
      <c r="D11" s="121" t="s">
        <v>178</v>
      </c>
      <c r="E11" s="114"/>
      <c r="F11" s="114"/>
    </row>
    <row r="12" spans="2:6" s="106" customFormat="1" ht="19.95" customHeight="1">
      <c r="B12" s="125" t="s">
        <v>7</v>
      </c>
      <c r="C12" s="126"/>
      <c r="D12" s="134" t="s">
        <v>160</v>
      </c>
      <c r="E12" s="127"/>
      <c r="F12" s="127"/>
    </row>
    <row r="13" spans="2:6" s="106" customFormat="1" ht="19.95" customHeight="1">
      <c r="B13" s="119" t="s">
        <v>136</v>
      </c>
      <c r="C13" s="96" t="s">
        <v>8</v>
      </c>
      <c r="D13" s="121" t="s">
        <v>141</v>
      </c>
      <c r="E13" s="114"/>
      <c r="F13" s="114"/>
    </row>
    <row r="14" spans="2:6" s="106" customFormat="1" ht="19.95" customHeight="1">
      <c r="B14" s="119" t="s">
        <v>137</v>
      </c>
      <c r="C14" s="96" t="s">
        <v>8</v>
      </c>
      <c r="D14" s="121" t="s">
        <v>142</v>
      </c>
      <c r="E14" s="114"/>
      <c r="F14" s="114"/>
    </row>
    <row r="15" spans="2:6" s="106" customFormat="1" ht="19.95" customHeight="1">
      <c r="B15" s="119" t="s">
        <v>138</v>
      </c>
      <c r="C15" s="96" t="s">
        <v>8</v>
      </c>
      <c r="D15" s="121" t="s">
        <v>83</v>
      </c>
      <c r="E15" s="114"/>
      <c r="F15" s="114"/>
    </row>
    <row r="16" spans="2:6" s="106" customFormat="1" ht="19.95" customHeight="1">
      <c r="B16" s="119" t="s">
        <v>139</v>
      </c>
      <c r="C16" s="96" t="s">
        <v>8</v>
      </c>
      <c r="D16" s="147" t="s">
        <v>143</v>
      </c>
      <c r="E16" s="114"/>
      <c r="F16" s="114"/>
    </row>
    <row r="17" spans="2:6" s="106" customFormat="1" ht="19.95" customHeight="1">
      <c r="B17" s="119" t="s">
        <v>140</v>
      </c>
      <c r="C17" s="96" t="s">
        <v>8</v>
      </c>
      <c r="D17" s="147" t="s">
        <v>144</v>
      </c>
      <c r="E17" s="114"/>
      <c r="F17" s="114"/>
    </row>
    <row r="18" spans="2:6" s="106" customFormat="1" ht="19.95" customHeight="1">
      <c r="B18" s="119" t="s">
        <v>145</v>
      </c>
      <c r="C18" s="96" t="s">
        <v>12</v>
      </c>
      <c r="D18" s="136" t="s">
        <v>157</v>
      </c>
      <c r="E18" s="114"/>
      <c r="F18" s="114"/>
    </row>
    <row r="19" spans="2:6" s="106" customFormat="1" ht="19.95" customHeight="1">
      <c r="B19" s="119" t="s">
        <v>147</v>
      </c>
      <c r="C19" s="96" t="s">
        <v>12</v>
      </c>
      <c r="D19" s="136" t="s">
        <v>146</v>
      </c>
      <c r="E19" s="114"/>
      <c r="F19" s="114"/>
    </row>
    <row r="20" spans="2:6" s="106" customFormat="1" ht="19.95" customHeight="1">
      <c r="B20" s="119" t="s">
        <v>149</v>
      </c>
      <c r="C20" s="96" t="s">
        <v>12</v>
      </c>
      <c r="D20" s="121" t="s">
        <v>212</v>
      </c>
      <c r="E20" s="114"/>
      <c r="F20" s="114"/>
    </row>
    <row r="21" spans="2:6" s="106" customFormat="1" ht="19.95" customHeight="1">
      <c r="B21" s="119" t="s">
        <v>150</v>
      </c>
      <c r="C21" s="96" t="s">
        <v>12</v>
      </c>
      <c r="D21" s="121" t="s">
        <v>148</v>
      </c>
      <c r="E21" s="114"/>
      <c r="F21" s="114"/>
    </row>
    <row r="22" spans="2:6" s="106" customFormat="1" ht="19.95" customHeight="1">
      <c r="B22" s="125" t="s">
        <v>9</v>
      </c>
      <c r="C22" s="126"/>
      <c r="D22" s="134" t="s">
        <v>214</v>
      </c>
      <c r="E22" s="127"/>
      <c r="F22" s="127"/>
    </row>
    <row r="23" spans="2:6" s="106" customFormat="1" ht="19.95" customHeight="1">
      <c r="B23" s="119" t="s">
        <v>151</v>
      </c>
      <c r="C23" s="96" t="s">
        <v>8</v>
      </c>
      <c r="D23" s="135" t="s">
        <v>153</v>
      </c>
      <c r="E23" s="114"/>
      <c r="F23" s="114"/>
    </row>
    <row r="24" spans="2:6" s="106" customFormat="1" ht="19.95" customHeight="1">
      <c r="B24" s="119" t="s">
        <v>152</v>
      </c>
      <c r="C24" s="96" t="s">
        <v>12</v>
      </c>
      <c r="D24" s="135" t="s">
        <v>154</v>
      </c>
      <c r="E24" s="114"/>
      <c r="F24" s="114"/>
    </row>
    <row r="25" spans="2:6" s="106" customFormat="1" ht="19.95" customHeight="1">
      <c r="B25" s="125" t="s">
        <v>10</v>
      </c>
      <c r="C25" s="130"/>
      <c r="D25" s="134" t="s">
        <v>155</v>
      </c>
      <c r="E25" s="131"/>
      <c r="F25" s="131"/>
    </row>
    <row r="26" spans="2:6" s="106" customFormat="1" ht="19.95" customHeight="1">
      <c r="B26" s="119" t="s">
        <v>156</v>
      </c>
      <c r="C26" s="96" t="s">
        <v>12</v>
      </c>
      <c r="D26" s="147" t="s">
        <v>158</v>
      </c>
      <c r="E26" s="119"/>
      <c r="F26" s="114"/>
    </row>
    <row r="27" spans="2:6" s="106" customFormat="1" ht="19.95" customHeight="1">
      <c r="B27" s="119" t="s">
        <v>159</v>
      </c>
      <c r="C27" s="96" t="s">
        <v>12</v>
      </c>
      <c r="D27" s="135" t="s">
        <v>213</v>
      </c>
      <c r="E27" s="114"/>
      <c r="F27" s="114"/>
    </row>
    <row r="28" spans="2:6" s="106" customFormat="1" ht="19.95" customHeight="1">
      <c r="B28" s="125" t="s">
        <v>11</v>
      </c>
      <c r="C28" s="130"/>
      <c r="D28" s="134" t="s">
        <v>161</v>
      </c>
      <c r="E28" s="131"/>
      <c r="F28" s="132"/>
    </row>
    <row r="29" spans="2:6" s="106" customFormat="1" ht="19.95" customHeight="1">
      <c r="B29" s="119" t="s">
        <v>164</v>
      </c>
      <c r="C29" s="96" t="s">
        <v>8</v>
      </c>
      <c r="D29" s="121" t="s">
        <v>162</v>
      </c>
      <c r="E29" s="116"/>
      <c r="F29" s="116"/>
    </row>
    <row r="30" spans="2:6" s="106" customFormat="1" ht="19.95" customHeight="1">
      <c r="B30" s="119" t="s">
        <v>165</v>
      </c>
      <c r="C30" s="115" t="s">
        <v>12</v>
      </c>
      <c r="D30" s="121" t="s">
        <v>163</v>
      </c>
      <c r="E30" s="120"/>
      <c r="F30" s="116"/>
    </row>
    <row r="31" spans="2:6" s="106" customFormat="1" ht="19.95" customHeight="1">
      <c r="B31" s="125" t="s">
        <v>39</v>
      </c>
      <c r="C31" s="130"/>
      <c r="D31" s="134" t="s">
        <v>166</v>
      </c>
      <c r="E31" s="133"/>
      <c r="F31" s="131"/>
    </row>
    <row r="32" spans="2:6" s="106" customFormat="1" ht="19.95" customHeight="1">
      <c r="B32" s="119" t="s">
        <v>167</v>
      </c>
      <c r="C32" s="117" t="s">
        <v>12</v>
      </c>
      <c r="D32" s="121" t="s">
        <v>170</v>
      </c>
      <c r="E32" s="116"/>
      <c r="F32" s="116"/>
    </row>
    <row r="33" spans="2:6" s="106" customFormat="1" ht="19.95" customHeight="1" thickBot="1">
      <c r="B33" s="137" t="s">
        <v>168</v>
      </c>
      <c r="C33" s="118" t="s">
        <v>12</v>
      </c>
      <c r="D33" s="148" t="s">
        <v>169</v>
      </c>
      <c r="E33" s="138"/>
      <c r="F33" s="138"/>
    </row>
  </sheetData>
  <mergeCells count="2">
    <mergeCell ref="B2:F2"/>
    <mergeCell ref="B3:F3"/>
  </mergeCells>
  <phoneticPr fontId="45" type="noConversion"/>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tabColor theme="9"/>
    <pageSetUpPr fitToPage="1"/>
  </sheetPr>
  <dimension ref="B1:HN80"/>
  <sheetViews>
    <sheetView showGridLines="0" zoomScale="85" zoomScaleNormal="85" workbookViewId="0">
      <pane xSplit="12" ySplit="15" topLeftCell="HF57" activePane="bottomRight" state="frozen"/>
      <selection pane="topRight" activeCell="L1" sqref="L1"/>
      <selection pane="bottomLeft" activeCell="A15" sqref="A15"/>
      <selection pane="bottomRight" activeCell="HS14" sqref="HS14"/>
    </sheetView>
  </sheetViews>
  <sheetFormatPr baseColWidth="10" defaultColWidth="6.33203125" defaultRowHeight="14.4"/>
  <cols>
    <col min="1" max="1" width="2" customWidth="1"/>
    <col min="2" max="2" width="4.109375" bestFit="1" customWidth="1"/>
    <col min="3" max="3" width="6" customWidth="1"/>
    <col min="4" max="4" width="29" customWidth="1"/>
    <col min="5" max="5" width="10.5546875" bestFit="1" customWidth="1"/>
    <col min="6" max="6" width="8.88671875" bestFit="1" customWidth="1"/>
    <col min="7" max="7" width="12.44140625" customWidth="1"/>
    <col min="8" max="8" width="9.109375" bestFit="1" customWidth="1"/>
    <col min="9" max="9" width="10.33203125" bestFit="1" customWidth="1"/>
    <col min="10" max="10" width="3.44140625" customWidth="1"/>
    <col min="11" max="11" width="14" customWidth="1"/>
    <col min="12" max="12" width="15.44140625" customWidth="1"/>
    <col min="13" max="15" width="6.33203125" style="1" customWidth="1"/>
    <col min="16" max="222" width="6.33203125" customWidth="1"/>
  </cols>
  <sheetData>
    <row r="1" spans="2:222" ht="15" customHeight="1" thickTop="1">
      <c r="B1" s="195" t="s">
        <v>13</v>
      </c>
      <c r="C1" s="195"/>
      <c r="D1" s="195"/>
      <c r="E1" s="195"/>
      <c r="F1" s="195"/>
      <c r="G1" s="195"/>
      <c r="H1" s="189"/>
      <c r="I1" s="190"/>
      <c r="J1" s="190"/>
      <c r="K1" s="191"/>
      <c r="N1" s="6"/>
    </row>
    <row r="2" spans="2:222" ht="55.2" customHeight="1" thickBot="1">
      <c r="B2" s="196"/>
      <c r="C2" s="196"/>
      <c r="D2" s="196"/>
      <c r="E2" s="196"/>
      <c r="F2" s="196"/>
      <c r="G2" s="196"/>
      <c r="H2" s="192"/>
      <c r="I2" s="193"/>
      <c r="J2" s="193"/>
      <c r="K2" s="194"/>
      <c r="N2" s="21"/>
      <c r="O2" s="21"/>
      <c r="P2" s="22"/>
    </row>
    <row r="3" spans="2:222" ht="27" customHeight="1" thickTop="1" thickBot="1">
      <c r="B3" s="98"/>
      <c r="C3" s="98"/>
      <c r="D3" s="98"/>
      <c r="E3" s="98"/>
      <c r="F3" s="98"/>
      <c r="G3" s="98"/>
      <c r="H3" s="95"/>
      <c r="I3" s="95"/>
      <c r="J3" s="95"/>
      <c r="K3" s="95"/>
      <c r="N3" s="21"/>
      <c r="O3" s="21"/>
      <c r="P3" s="100"/>
    </row>
    <row r="4" spans="2:222" ht="18" customHeight="1" thickTop="1" thickBot="1">
      <c r="B4" s="209" t="s">
        <v>14</v>
      </c>
      <c r="C4" s="209"/>
      <c r="D4" s="210"/>
      <c r="E4" s="223" t="s">
        <v>113</v>
      </c>
      <c r="F4" s="224"/>
      <c r="G4" s="224"/>
      <c r="H4" s="224"/>
      <c r="I4" s="225"/>
      <c r="J4" s="50"/>
      <c r="K4" s="48"/>
      <c r="L4" s="24" t="s">
        <v>15</v>
      </c>
      <c r="N4" s="21"/>
      <c r="O4" s="21"/>
      <c r="P4" s="21"/>
      <c r="Q4" s="1"/>
      <c r="R4" s="1"/>
      <c r="S4" s="1"/>
      <c r="T4" s="1"/>
      <c r="W4" s="1"/>
    </row>
    <row r="5" spans="2:222" ht="18" customHeight="1" thickTop="1" thickBot="1">
      <c r="B5" s="209" t="s">
        <v>16</v>
      </c>
      <c r="C5" s="209"/>
      <c r="D5" s="210"/>
      <c r="E5" s="223" t="s">
        <v>64</v>
      </c>
      <c r="F5" s="224"/>
      <c r="G5" s="224"/>
      <c r="H5" s="224"/>
      <c r="I5" s="225"/>
      <c r="J5" s="50"/>
      <c r="K5" s="48"/>
      <c r="L5" s="37" t="s">
        <v>17</v>
      </c>
      <c r="N5" s="21"/>
      <c r="O5" s="21"/>
      <c r="P5" s="22"/>
    </row>
    <row r="6" spans="2:222" ht="18" customHeight="1" thickTop="1" thickBot="1">
      <c r="B6" s="209" t="s">
        <v>18</v>
      </c>
      <c r="C6" s="209"/>
      <c r="D6" s="210"/>
      <c r="E6" s="223" t="s">
        <v>64</v>
      </c>
      <c r="F6" s="224"/>
      <c r="G6" s="224"/>
      <c r="H6" s="224"/>
      <c r="I6" s="225"/>
      <c r="J6" s="50"/>
      <c r="K6" s="48"/>
      <c r="L6" s="23" t="s">
        <v>19</v>
      </c>
      <c r="N6" s="21"/>
      <c r="O6" s="21"/>
      <c r="P6" s="22"/>
    </row>
    <row r="7" spans="2:222" ht="18" customHeight="1" thickTop="1" thickBot="1">
      <c r="B7" s="209" t="s">
        <v>20</v>
      </c>
      <c r="C7" s="209"/>
      <c r="D7" s="210"/>
      <c r="E7" s="220">
        <v>44284</v>
      </c>
      <c r="F7" s="221"/>
      <c r="G7" s="221"/>
      <c r="H7" s="221"/>
      <c r="I7" s="222"/>
      <c r="J7" s="51"/>
      <c r="K7" s="49"/>
      <c r="L7" s="38" t="s">
        <v>21</v>
      </c>
    </row>
    <row r="8" spans="2:222" ht="15" customHeight="1" thickTop="1" thickBot="1">
      <c r="B8" s="227" t="s">
        <v>75</v>
      </c>
      <c r="C8" s="228"/>
      <c r="D8" s="229"/>
      <c r="E8" s="211" t="s">
        <v>114</v>
      </c>
      <c r="F8" s="212"/>
      <c r="G8" s="212"/>
      <c r="H8" s="212"/>
      <c r="I8" s="213"/>
      <c r="J8" s="52"/>
      <c r="K8" s="32"/>
      <c r="L8" s="33"/>
    </row>
    <row r="9" spans="2:222" ht="40.200000000000003" customHeight="1" thickTop="1" thickBot="1">
      <c r="B9" s="230"/>
      <c r="C9" s="231"/>
      <c r="D9" s="232"/>
      <c r="E9" s="214"/>
      <c r="F9" s="215"/>
      <c r="G9" s="215"/>
      <c r="H9" s="215"/>
      <c r="I9" s="216"/>
      <c r="J9" s="52"/>
      <c r="K9" s="32"/>
      <c r="L9" s="34"/>
      <c r="Q9" s="7"/>
    </row>
    <row r="10" spans="2:222" ht="15.75" customHeight="1" thickTop="1" thickBot="1">
      <c r="B10" s="226" t="s">
        <v>22</v>
      </c>
      <c r="C10" s="226"/>
      <c r="D10" s="94">
        <f ca="1">TODAY()</f>
        <v>44479</v>
      </c>
      <c r="E10" s="217"/>
      <c r="F10" s="218"/>
      <c r="G10" s="218"/>
      <c r="H10" s="218"/>
      <c r="I10" s="219"/>
      <c r="J10" s="52"/>
      <c r="K10" s="35"/>
      <c r="L10" s="39" t="s">
        <v>23</v>
      </c>
      <c r="M10" s="201" t="str">
        <f>TEXT(P14,"MMMM JJ")</f>
        <v>April 21</v>
      </c>
      <c r="N10" s="202"/>
      <c r="O10" s="202"/>
      <c r="P10" s="202"/>
      <c r="Q10" s="202"/>
      <c r="R10" s="202"/>
      <c r="S10" s="203"/>
      <c r="T10" s="201" t="str">
        <f>TEXT(W14,"MMMM JJ")</f>
        <v>April 21</v>
      </c>
      <c r="U10" s="202"/>
      <c r="V10" s="202"/>
      <c r="W10" s="202"/>
      <c r="X10" s="202"/>
      <c r="Y10" s="202"/>
      <c r="Z10" s="203"/>
      <c r="AA10" s="201" t="str">
        <f t="shared" ref="AA10" si="0">TEXT(AD14,"MMMM JJ")</f>
        <v>April 21</v>
      </c>
      <c r="AB10" s="202"/>
      <c r="AC10" s="202"/>
      <c r="AD10" s="202"/>
      <c r="AE10" s="202"/>
      <c r="AF10" s="202"/>
      <c r="AG10" s="203"/>
      <c r="AH10" s="201" t="str">
        <f t="shared" ref="AH10" si="1">TEXT(AK14,"MMMM JJ")</f>
        <v>April 21</v>
      </c>
      <c r="AI10" s="202"/>
      <c r="AJ10" s="202"/>
      <c r="AK10" s="202"/>
      <c r="AL10" s="202"/>
      <c r="AM10" s="202"/>
      <c r="AN10" s="203"/>
      <c r="AO10" s="201" t="str">
        <f t="shared" ref="AO10" si="2">TEXT(AR14,"MMMM JJ")</f>
        <v>April 21</v>
      </c>
      <c r="AP10" s="202"/>
      <c r="AQ10" s="202"/>
      <c r="AR10" s="202"/>
      <c r="AS10" s="202"/>
      <c r="AT10" s="202"/>
      <c r="AU10" s="203"/>
      <c r="AV10" s="201" t="str">
        <f t="shared" ref="AV10" si="3">TEXT(AY14,"MMMM JJ")</f>
        <v>May 21</v>
      </c>
      <c r="AW10" s="202"/>
      <c r="AX10" s="202"/>
      <c r="AY10" s="202"/>
      <c r="AZ10" s="202"/>
      <c r="BA10" s="202"/>
      <c r="BB10" s="203"/>
      <c r="BC10" s="201" t="str">
        <f t="shared" ref="BC10" si="4">TEXT(BF14,"MMMM JJ")</f>
        <v>May 21</v>
      </c>
      <c r="BD10" s="202"/>
      <c r="BE10" s="202"/>
      <c r="BF10" s="202"/>
      <c r="BG10" s="202"/>
      <c r="BH10" s="202"/>
      <c r="BI10" s="203"/>
      <c r="BJ10" s="201" t="str">
        <f t="shared" ref="BJ10" si="5">TEXT(BM14,"MMMM JJ")</f>
        <v>May 21</v>
      </c>
      <c r="BK10" s="202"/>
      <c r="BL10" s="202"/>
      <c r="BM10" s="202"/>
      <c r="BN10" s="202"/>
      <c r="BO10" s="202"/>
      <c r="BP10" s="203"/>
      <c r="BQ10" s="201" t="str">
        <f t="shared" ref="BQ10" si="6">TEXT(BT14,"MMMM JJ")</f>
        <v>May 21</v>
      </c>
      <c r="BR10" s="202"/>
      <c r="BS10" s="202"/>
      <c r="BT10" s="202"/>
      <c r="BU10" s="202"/>
      <c r="BV10" s="202"/>
      <c r="BW10" s="203"/>
      <c r="BX10" s="201" t="str">
        <f t="shared" ref="BX10" si="7">TEXT(CA14,"MMMM JJ")</f>
        <v>June 21</v>
      </c>
      <c r="BY10" s="202"/>
      <c r="BZ10" s="202"/>
      <c r="CA10" s="202"/>
      <c r="CB10" s="202"/>
      <c r="CC10" s="202"/>
      <c r="CD10" s="203"/>
      <c r="CE10" s="201" t="str">
        <f t="shared" ref="CE10" si="8">TEXT(CH14,"MMMM JJ")</f>
        <v>June 21</v>
      </c>
      <c r="CF10" s="202"/>
      <c r="CG10" s="202"/>
      <c r="CH10" s="202"/>
      <c r="CI10" s="202"/>
      <c r="CJ10" s="202"/>
      <c r="CK10" s="203"/>
      <c r="CL10" s="201" t="str">
        <f t="shared" ref="CL10" si="9">TEXT(CO14,"MMMM JJ")</f>
        <v>June 21</v>
      </c>
      <c r="CM10" s="202"/>
      <c r="CN10" s="202"/>
      <c r="CO10" s="202"/>
      <c r="CP10" s="202"/>
      <c r="CQ10" s="202"/>
      <c r="CR10" s="203"/>
      <c r="CS10" s="201" t="str">
        <f t="shared" ref="CS10" si="10">TEXT(CV14,"MMMM JJ")</f>
        <v>June 21</v>
      </c>
      <c r="CT10" s="202"/>
      <c r="CU10" s="202"/>
      <c r="CV10" s="202"/>
      <c r="CW10" s="202"/>
      <c r="CX10" s="202"/>
      <c r="CY10" s="203"/>
      <c r="CZ10" s="201" t="str">
        <f t="shared" ref="CZ10" si="11">TEXT(DC14,"MMMM JJ")</f>
        <v>July 21</v>
      </c>
      <c r="DA10" s="202"/>
      <c r="DB10" s="202"/>
      <c r="DC10" s="202"/>
      <c r="DD10" s="202"/>
      <c r="DE10" s="202"/>
      <c r="DF10" s="203"/>
      <c r="DG10" s="201" t="str">
        <f t="shared" ref="DG10" si="12">TEXT(DJ14,"MMMM JJ")</f>
        <v>July 21</v>
      </c>
      <c r="DH10" s="202"/>
      <c r="DI10" s="202"/>
      <c r="DJ10" s="202"/>
      <c r="DK10" s="202"/>
      <c r="DL10" s="202"/>
      <c r="DM10" s="203"/>
      <c r="DN10" s="201" t="str">
        <f t="shared" ref="DN10" si="13">TEXT(DQ14,"MMMM JJ")</f>
        <v>July 21</v>
      </c>
      <c r="DO10" s="202"/>
      <c r="DP10" s="202"/>
      <c r="DQ10" s="202"/>
      <c r="DR10" s="202"/>
      <c r="DS10" s="202"/>
      <c r="DT10" s="203"/>
      <c r="DU10" s="201" t="str">
        <f t="shared" ref="DU10" si="14">TEXT(DX14,"MMMM JJ")</f>
        <v>July 21</v>
      </c>
      <c r="DV10" s="202"/>
      <c r="DW10" s="202"/>
      <c r="DX10" s="202"/>
      <c r="DY10" s="202"/>
      <c r="DZ10" s="202"/>
      <c r="EA10" s="203"/>
      <c r="EB10" s="201" t="str">
        <f t="shared" ref="EB10" si="15">TEXT(EE14,"MMMM JJ")</f>
        <v>July 21</v>
      </c>
      <c r="EC10" s="202"/>
      <c r="ED10" s="202"/>
      <c r="EE10" s="202"/>
      <c r="EF10" s="202"/>
      <c r="EG10" s="202"/>
      <c r="EH10" s="203"/>
      <c r="EI10" s="201" t="str">
        <f t="shared" ref="EI10" si="16">TEXT(EL14,"MMMM JJ")</f>
        <v>August 21</v>
      </c>
      <c r="EJ10" s="202"/>
      <c r="EK10" s="202"/>
      <c r="EL10" s="202"/>
      <c r="EM10" s="202"/>
      <c r="EN10" s="202"/>
      <c r="EO10" s="203"/>
      <c r="EP10" s="201" t="str">
        <f t="shared" ref="EP10" si="17">TEXT(ES14,"MMMM JJ")</f>
        <v>August 21</v>
      </c>
      <c r="EQ10" s="202"/>
      <c r="ER10" s="202"/>
      <c r="ES10" s="202"/>
      <c r="ET10" s="202"/>
      <c r="EU10" s="202"/>
      <c r="EV10" s="203"/>
      <c r="EW10" s="201" t="str">
        <f t="shared" ref="EW10" si="18">TEXT(EZ14,"MMMM JJ")</f>
        <v>August 21</v>
      </c>
      <c r="EX10" s="202"/>
      <c r="EY10" s="202"/>
      <c r="EZ10" s="202"/>
      <c r="FA10" s="202"/>
      <c r="FB10" s="202"/>
      <c r="FC10" s="203"/>
      <c r="FD10" s="201" t="str">
        <f t="shared" ref="FD10" si="19">TEXT(FG14,"MMMM JJ")</f>
        <v>August 21</v>
      </c>
      <c r="FE10" s="202"/>
      <c r="FF10" s="202"/>
      <c r="FG10" s="202"/>
      <c r="FH10" s="202"/>
      <c r="FI10" s="202"/>
      <c r="FJ10" s="203"/>
      <c r="FK10" s="201" t="str">
        <f t="shared" ref="FK10" si="20">TEXT(FN14,"MMMM JJ")</f>
        <v>September 21</v>
      </c>
      <c r="FL10" s="202"/>
      <c r="FM10" s="202"/>
      <c r="FN10" s="202"/>
      <c r="FO10" s="202"/>
      <c r="FP10" s="202"/>
      <c r="FQ10" s="203"/>
      <c r="FR10" s="201" t="str">
        <f t="shared" ref="FR10" si="21">TEXT(FU14,"MMMM JJ")</f>
        <v>September 21</v>
      </c>
      <c r="FS10" s="202"/>
      <c r="FT10" s="202"/>
      <c r="FU10" s="202"/>
      <c r="FV10" s="202"/>
      <c r="FW10" s="202"/>
      <c r="FX10" s="203"/>
      <c r="FY10" s="201" t="str">
        <f t="shared" ref="FY10" si="22">TEXT(GB14,"MMMM JJ")</f>
        <v>September 21</v>
      </c>
      <c r="FZ10" s="202"/>
      <c r="GA10" s="202"/>
      <c r="GB10" s="202"/>
      <c r="GC10" s="202"/>
      <c r="GD10" s="202"/>
      <c r="GE10" s="203"/>
      <c r="GF10" s="201" t="str">
        <f t="shared" ref="GF10" si="23">TEXT(GI14,"MMMM JJ")</f>
        <v>September 21</v>
      </c>
      <c r="GG10" s="202"/>
      <c r="GH10" s="202"/>
      <c r="GI10" s="202"/>
      <c r="GJ10" s="202"/>
      <c r="GK10" s="202"/>
      <c r="GL10" s="203"/>
      <c r="GM10" s="201" t="str">
        <f t="shared" ref="GM10" si="24">TEXT(GP14,"MMMM JJ")</f>
        <v>September 21</v>
      </c>
      <c r="GN10" s="202"/>
      <c r="GO10" s="202"/>
      <c r="GP10" s="202"/>
      <c r="GQ10" s="202"/>
      <c r="GR10" s="202"/>
      <c r="GS10" s="203"/>
      <c r="GT10" s="201" t="str">
        <f t="shared" ref="GT10" si="25">TEXT(GW14,"MMMM JJ")</f>
        <v>October 21</v>
      </c>
      <c r="GU10" s="202"/>
      <c r="GV10" s="202"/>
      <c r="GW10" s="202"/>
      <c r="GX10" s="202"/>
      <c r="GY10" s="202"/>
      <c r="GZ10" s="203"/>
      <c r="HA10" s="201" t="str">
        <f t="shared" ref="HA10" si="26">TEXT(HD14,"MMMM JJ")</f>
        <v>October 21</v>
      </c>
      <c r="HB10" s="202"/>
      <c r="HC10" s="202"/>
      <c r="HD10" s="202"/>
      <c r="HE10" s="202"/>
      <c r="HF10" s="202"/>
      <c r="HG10" s="203"/>
      <c r="HH10" s="201" t="str">
        <f t="shared" ref="HH10" si="27">TEXT(HK14,"MMMM JJ")</f>
        <v>October 21</v>
      </c>
      <c r="HI10" s="202"/>
      <c r="HJ10" s="202"/>
      <c r="HK10" s="202"/>
      <c r="HL10" s="202"/>
      <c r="HM10" s="202"/>
      <c r="HN10" s="203"/>
    </row>
    <row r="11" spans="2:222" ht="15" customHeight="1" thickTop="1">
      <c r="B11" s="204"/>
      <c r="C11" s="204"/>
      <c r="D11" s="204"/>
      <c r="F11" s="93"/>
      <c r="G11" s="46" t="s">
        <v>24</v>
      </c>
      <c r="H11" s="208">
        <v>44284</v>
      </c>
      <c r="I11" s="208"/>
      <c r="J11" s="53"/>
      <c r="L11" s="40" t="s">
        <v>25</v>
      </c>
      <c r="M11" s="206">
        <f>WEEKNUM(P14,21)</f>
        <v>13</v>
      </c>
      <c r="N11" s="206"/>
      <c r="O11" s="206"/>
      <c r="P11" s="206"/>
      <c r="Q11" s="206"/>
      <c r="R11" s="206"/>
      <c r="S11" s="206"/>
      <c r="T11" s="197">
        <f>WEEKNUM(W14,21)</f>
        <v>14</v>
      </c>
      <c r="U11" s="198"/>
      <c r="V11" s="198"/>
      <c r="W11" s="198"/>
      <c r="X11" s="198"/>
      <c r="Y11" s="198"/>
      <c r="Z11" s="199"/>
      <c r="AA11" s="200">
        <f>WEEKNUM(AD14,21)</f>
        <v>15</v>
      </c>
      <c r="AB11" s="200"/>
      <c r="AC11" s="200"/>
      <c r="AD11" s="200"/>
      <c r="AE11" s="200"/>
      <c r="AF11" s="200"/>
      <c r="AG11" s="200"/>
      <c r="AH11" s="197">
        <f>WEEKNUM(AK14,21)</f>
        <v>16</v>
      </c>
      <c r="AI11" s="198"/>
      <c r="AJ11" s="198"/>
      <c r="AK11" s="198"/>
      <c r="AL11" s="198"/>
      <c r="AM11" s="198"/>
      <c r="AN11" s="199"/>
      <c r="AO11" s="197">
        <f>WEEKNUM(AR14,21)</f>
        <v>17</v>
      </c>
      <c r="AP11" s="198"/>
      <c r="AQ11" s="198"/>
      <c r="AR11" s="198"/>
      <c r="AS11" s="198"/>
      <c r="AT11" s="198"/>
      <c r="AU11" s="199"/>
      <c r="AV11" s="197">
        <f>WEEKNUM(AY14,21)</f>
        <v>18</v>
      </c>
      <c r="AW11" s="198"/>
      <c r="AX11" s="198"/>
      <c r="AY11" s="198"/>
      <c r="AZ11" s="198"/>
      <c r="BA11" s="198"/>
      <c r="BB11" s="199"/>
      <c r="BC11" s="197">
        <f>WEEKNUM(BF14,21)</f>
        <v>19</v>
      </c>
      <c r="BD11" s="198"/>
      <c r="BE11" s="198"/>
      <c r="BF11" s="198"/>
      <c r="BG11" s="198"/>
      <c r="BH11" s="198"/>
      <c r="BI11" s="199"/>
      <c r="BJ11" s="197">
        <f>WEEKNUM(BM14,21)</f>
        <v>20</v>
      </c>
      <c r="BK11" s="198"/>
      <c r="BL11" s="198"/>
      <c r="BM11" s="198"/>
      <c r="BN11" s="198"/>
      <c r="BO11" s="198"/>
      <c r="BP11" s="199"/>
      <c r="BQ11" s="197">
        <f>WEEKNUM(BT14,21)</f>
        <v>21</v>
      </c>
      <c r="BR11" s="198"/>
      <c r="BS11" s="198"/>
      <c r="BT11" s="198"/>
      <c r="BU11" s="198"/>
      <c r="BV11" s="198"/>
      <c r="BW11" s="199"/>
      <c r="BX11" s="197">
        <f>WEEKNUM(CA14,21)</f>
        <v>22</v>
      </c>
      <c r="BY11" s="198"/>
      <c r="BZ11" s="198"/>
      <c r="CA11" s="198"/>
      <c r="CB11" s="198"/>
      <c r="CC11" s="198"/>
      <c r="CD11" s="199"/>
      <c r="CE11" s="197">
        <f>WEEKNUM(CH14,21)</f>
        <v>23</v>
      </c>
      <c r="CF11" s="198"/>
      <c r="CG11" s="198"/>
      <c r="CH11" s="198"/>
      <c r="CI11" s="198"/>
      <c r="CJ11" s="198"/>
      <c r="CK11" s="199"/>
      <c r="CL11" s="197">
        <f>WEEKNUM(CO14,21)</f>
        <v>24</v>
      </c>
      <c r="CM11" s="198"/>
      <c r="CN11" s="198"/>
      <c r="CO11" s="198"/>
      <c r="CP11" s="198"/>
      <c r="CQ11" s="198"/>
      <c r="CR11" s="199"/>
      <c r="CS11" s="197">
        <f>WEEKNUM(CV14,21)</f>
        <v>25</v>
      </c>
      <c r="CT11" s="198"/>
      <c r="CU11" s="198"/>
      <c r="CV11" s="198"/>
      <c r="CW11" s="198"/>
      <c r="CX11" s="198"/>
      <c r="CY11" s="199"/>
      <c r="CZ11" s="197">
        <f>WEEKNUM(DC14,21)</f>
        <v>26</v>
      </c>
      <c r="DA11" s="198"/>
      <c r="DB11" s="198"/>
      <c r="DC11" s="198"/>
      <c r="DD11" s="198"/>
      <c r="DE11" s="198"/>
      <c r="DF11" s="199"/>
      <c r="DG11" s="197">
        <f>WEEKNUM(DJ14,21)</f>
        <v>27</v>
      </c>
      <c r="DH11" s="198"/>
      <c r="DI11" s="198"/>
      <c r="DJ11" s="198"/>
      <c r="DK11" s="198"/>
      <c r="DL11" s="198"/>
      <c r="DM11" s="199"/>
      <c r="DN11" s="197">
        <f>WEEKNUM(DQ14,21)</f>
        <v>28</v>
      </c>
      <c r="DO11" s="198"/>
      <c r="DP11" s="198"/>
      <c r="DQ11" s="198"/>
      <c r="DR11" s="198"/>
      <c r="DS11" s="198"/>
      <c r="DT11" s="199"/>
      <c r="DU11" s="197">
        <f>WEEKNUM(DX14,21)</f>
        <v>29</v>
      </c>
      <c r="DV11" s="198"/>
      <c r="DW11" s="198"/>
      <c r="DX11" s="198"/>
      <c r="DY11" s="198"/>
      <c r="DZ11" s="198"/>
      <c r="EA11" s="199"/>
      <c r="EB11" s="197">
        <f>WEEKNUM(EE14,21)</f>
        <v>30</v>
      </c>
      <c r="EC11" s="198"/>
      <c r="ED11" s="198"/>
      <c r="EE11" s="198"/>
      <c r="EF11" s="198"/>
      <c r="EG11" s="198"/>
      <c r="EH11" s="199"/>
      <c r="EI11" s="197">
        <f>WEEKNUM(EL14,21)</f>
        <v>31</v>
      </c>
      <c r="EJ11" s="198"/>
      <c r="EK11" s="198"/>
      <c r="EL11" s="198"/>
      <c r="EM11" s="198"/>
      <c r="EN11" s="198"/>
      <c r="EO11" s="199"/>
      <c r="EP11" s="197">
        <f>WEEKNUM(ES14,21)</f>
        <v>32</v>
      </c>
      <c r="EQ11" s="198"/>
      <c r="ER11" s="198"/>
      <c r="ES11" s="198"/>
      <c r="ET11" s="198"/>
      <c r="EU11" s="198"/>
      <c r="EV11" s="199"/>
      <c r="EW11" s="197">
        <f>WEEKNUM(EZ14,21)</f>
        <v>33</v>
      </c>
      <c r="EX11" s="198"/>
      <c r="EY11" s="198"/>
      <c r="EZ11" s="198"/>
      <c r="FA11" s="198"/>
      <c r="FB11" s="198"/>
      <c r="FC11" s="199"/>
      <c r="FD11" s="197">
        <f>WEEKNUM(FG14,21)</f>
        <v>34</v>
      </c>
      <c r="FE11" s="198"/>
      <c r="FF11" s="198"/>
      <c r="FG11" s="198"/>
      <c r="FH11" s="198"/>
      <c r="FI11" s="198"/>
      <c r="FJ11" s="199"/>
      <c r="FK11" s="197">
        <f>WEEKNUM(FN14,21)</f>
        <v>35</v>
      </c>
      <c r="FL11" s="198"/>
      <c r="FM11" s="198"/>
      <c r="FN11" s="198"/>
      <c r="FO11" s="198"/>
      <c r="FP11" s="198"/>
      <c r="FQ11" s="199"/>
      <c r="FR11" s="197">
        <f>WEEKNUM(FU14,21)</f>
        <v>36</v>
      </c>
      <c r="FS11" s="198"/>
      <c r="FT11" s="198"/>
      <c r="FU11" s="198"/>
      <c r="FV11" s="198"/>
      <c r="FW11" s="198"/>
      <c r="FX11" s="199"/>
      <c r="FY11" s="197">
        <f>WEEKNUM(GB14,21)</f>
        <v>37</v>
      </c>
      <c r="FZ11" s="198"/>
      <c r="GA11" s="198"/>
      <c r="GB11" s="198"/>
      <c r="GC11" s="198"/>
      <c r="GD11" s="198"/>
      <c r="GE11" s="199"/>
      <c r="GF11" s="197">
        <f>WEEKNUM(GI14,21)</f>
        <v>38</v>
      </c>
      <c r="GG11" s="198"/>
      <c r="GH11" s="198"/>
      <c r="GI11" s="198"/>
      <c r="GJ11" s="198"/>
      <c r="GK11" s="198"/>
      <c r="GL11" s="199"/>
      <c r="GM11" s="197">
        <f>WEEKNUM(GP14,21)</f>
        <v>39</v>
      </c>
      <c r="GN11" s="198"/>
      <c r="GO11" s="198"/>
      <c r="GP11" s="198"/>
      <c r="GQ11" s="198"/>
      <c r="GR11" s="198"/>
      <c r="GS11" s="199"/>
      <c r="GT11" s="197">
        <f>WEEKNUM(GW14,21)</f>
        <v>40</v>
      </c>
      <c r="GU11" s="198"/>
      <c r="GV11" s="198"/>
      <c r="GW11" s="198"/>
      <c r="GX11" s="198"/>
      <c r="GY11" s="198"/>
      <c r="GZ11" s="199"/>
      <c r="HA11" s="197">
        <f>WEEKNUM(HD14,21)</f>
        <v>41</v>
      </c>
      <c r="HB11" s="198"/>
      <c r="HC11" s="198"/>
      <c r="HD11" s="198"/>
      <c r="HE11" s="198"/>
      <c r="HF11" s="198"/>
      <c r="HG11" s="199"/>
      <c r="HH11" s="197">
        <f>WEEKNUM(HK14,21)</f>
        <v>42</v>
      </c>
      <c r="HI11" s="198"/>
      <c r="HJ11" s="198"/>
      <c r="HK11" s="198"/>
      <c r="HL11" s="198"/>
      <c r="HM11" s="198"/>
      <c r="HN11" s="199"/>
    </row>
    <row r="12" spans="2:222" ht="15" customHeight="1">
      <c r="B12" s="31"/>
      <c r="C12" s="20"/>
      <c r="F12" s="43"/>
      <c r="G12" s="46" t="s">
        <v>26</v>
      </c>
      <c r="H12" s="207"/>
      <c r="I12" s="207"/>
      <c r="J12" s="54"/>
      <c r="L12" s="40" t="s">
        <v>28</v>
      </c>
      <c r="M12" s="17">
        <v>1</v>
      </c>
      <c r="N12" s="17">
        <v>2</v>
      </c>
      <c r="O12" s="17">
        <v>3</v>
      </c>
      <c r="P12" s="17">
        <v>4</v>
      </c>
      <c r="Q12" s="17">
        <v>5</v>
      </c>
      <c r="R12" s="17">
        <v>6</v>
      </c>
      <c r="S12" s="17">
        <v>7</v>
      </c>
      <c r="T12" s="17">
        <v>8</v>
      </c>
      <c r="U12" s="17">
        <v>9</v>
      </c>
      <c r="V12" s="17">
        <v>10</v>
      </c>
      <c r="W12" s="17">
        <v>11</v>
      </c>
      <c r="X12" s="17">
        <v>12</v>
      </c>
      <c r="Y12" s="17">
        <v>13</v>
      </c>
      <c r="Z12" s="17">
        <v>14</v>
      </c>
      <c r="AA12" s="17">
        <v>15</v>
      </c>
      <c r="AB12" s="17">
        <v>16</v>
      </c>
      <c r="AC12" s="17">
        <v>17</v>
      </c>
      <c r="AD12" s="17">
        <v>18</v>
      </c>
      <c r="AE12" s="17">
        <v>19</v>
      </c>
      <c r="AF12" s="17">
        <v>20</v>
      </c>
      <c r="AG12" s="17">
        <v>21</v>
      </c>
      <c r="AH12" s="17">
        <v>22</v>
      </c>
      <c r="AI12" s="17">
        <v>23</v>
      </c>
      <c r="AJ12" s="17">
        <v>24</v>
      </c>
      <c r="AK12" s="17">
        <v>25</v>
      </c>
      <c r="AL12" s="17">
        <v>26</v>
      </c>
      <c r="AM12" s="17">
        <v>27</v>
      </c>
      <c r="AN12" s="17">
        <v>28</v>
      </c>
      <c r="AO12" s="17">
        <v>29</v>
      </c>
      <c r="AP12" s="17">
        <v>30</v>
      </c>
      <c r="AQ12" s="17">
        <v>31</v>
      </c>
      <c r="AR12" s="17">
        <v>32</v>
      </c>
      <c r="AS12" s="17">
        <v>33</v>
      </c>
      <c r="AT12" s="17">
        <v>34</v>
      </c>
      <c r="AU12" s="17">
        <v>35</v>
      </c>
      <c r="AV12" s="17">
        <v>36</v>
      </c>
      <c r="AW12" s="17">
        <v>37</v>
      </c>
      <c r="AX12" s="17">
        <v>38</v>
      </c>
      <c r="AY12" s="17">
        <v>39</v>
      </c>
      <c r="AZ12" s="17">
        <v>40</v>
      </c>
      <c r="BA12" s="17">
        <v>41</v>
      </c>
      <c r="BB12" s="17">
        <v>42</v>
      </c>
      <c r="BC12" s="17">
        <v>43</v>
      </c>
      <c r="BD12" s="17">
        <v>44</v>
      </c>
      <c r="BE12" s="17">
        <v>45</v>
      </c>
      <c r="BF12" s="17">
        <v>46</v>
      </c>
      <c r="BG12" s="17">
        <v>47</v>
      </c>
      <c r="BH12" s="17">
        <v>48</v>
      </c>
      <c r="BI12" s="17">
        <v>49</v>
      </c>
      <c r="BJ12" s="17">
        <v>50</v>
      </c>
      <c r="BK12" s="17">
        <v>51</v>
      </c>
      <c r="BL12" s="17">
        <v>52</v>
      </c>
      <c r="BM12" s="17">
        <v>53</v>
      </c>
      <c r="BN12" s="17">
        <v>54</v>
      </c>
      <c r="BO12" s="17">
        <v>55</v>
      </c>
      <c r="BP12" s="17">
        <v>56</v>
      </c>
      <c r="BQ12" s="17">
        <v>57</v>
      </c>
      <c r="BR12" s="17">
        <v>58</v>
      </c>
      <c r="BS12" s="17">
        <v>59</v>
      </c>
      <c r="BT12" s="17">
        <v>60</v>
      </c>
      <c r="BU12" s="17">
        <v>61</v>
      </c>
      <c r="BV12" s="17">
        <v>62</v>
      </c>
      <c r="BW12" s="17">
        <v>63</v>
      </c>
      <c r="BX12" s="17">
        <v>64</v>
      </c>
      <c r="BY12" s="17">
        <v>65</v>
      </c>
      <c r="BZ12" s="17">
        <v>66</v>
      </c>
      <c r="CA12" s="17">
        <v>67</v>
      </c>
      <c r="CB12" s="17">
        <v>68</v>
      </c>
      <c r="CC12" s="17">
        <v>69</v>
      </c>
      <c r="CD12" s="17">
        <v>70</v>
      </c>
      <c r="CE12" s="17">
        <v>71</v>
      </c>
      <c r="CF12" s="17">
        <v>72</v>
      </c>
      <c r="CG12" s="17">
        <v>73</v>
      </c>
      <c r="CH12" s="17">
        <v>74</v>
      </c>
      <c r="CI12" s="17">
        <v>75</v>
      </c>
      <c r="CJ12" s="17">
        <v>76</v>
      </c>
      <c r="CK12" s="17">
        <v>77</v>
      </c>
      <c r="CL12" s="17">
        <v>78</v>
      </c>
      <c r="CM12" s="17">
        <v>79</v>
      </c>
      <c r="CN12" s="17">
        <v>80</v>
      </c>
      <c r="CO12" s="17">
        <v>81</v>
      </c>
      <c r="CP12" s="17">
        <v>82</v>
      </c>
      <c r="CQ12" s="17">
        <v>83</v>
      </c>
      <c r="CR12" s="17">
        <v>84</v>
      </c>
      <c r="CS12" s="17">
        <v>85</v>
      </c>
      <c r="CT12" s="17">
        <v>86</v>
      </c>
      <c r="CU12" s="17">
        <v>87</v>
      </c>
      <c r="CV12" s="17">
        <v>88</v>
      </c>
      <c r="CW12" s="17">
        <v>89</v>
      </c>
      <c r="CX12" s="17">
        <v>90</v>
      </c>
      <c r="CY12" s="17">
        <v>91</v>
      </c>
      <c r="CZ12" s="17">
        <v>92</v>
      </c>
      <c r="DA12" s="17">
        <v>93</v>
      </c>
      <c r="DB12" s="17">
        <v>94</v>
      </c>
      <c r="DC12" s="17">
        <v>95</v>
      </c>
      <c r="DD12" s="17">
        <v>96</v>
      </c>
      <c r="DE12" s="17">
        <v>97</v>
      </c>
      <c r="DF12" s="17">
        <v>98</v>
      </c>
      <c r="DG12" s="17">
        <v>99</v>
      </c>
      <c r="DH12" s="17">
        <v>100</v>
      </c>
      <c r="DI12" s="17">
        <v>101</v>
      </c>
      <c r="DJ12" s="17">
        <v>102</v>
      </c>
      <c r="DK12" s="17">
        <v>103</v>
      </c>
      <c r="DL12" s="17">
        <v>104</v>
      </c>
      <c r="DM12" s="17">
        <v>105</v>
      </c>
      <c r="DN12" s="17">
        <v>106</v>
      </c>
      <c r="DO12" s="17">
        <v>107</v>
      </c>
      <c r="DP12" s="17">
        <v>108</v>
      </c>
      <c r="DQ12" s="17">
        <v>109</v>
      </c>
      <c r="DR12" s="17">
        <v>110</v>
      </c>
      <c r="DS12" s="17">
        <v>111</v>
      </c>
      <c r="DT12" s="17">
        <v>112</v>
      </c>
      <c r="DU12" s="17">
        <v>113</v>
      </c>
      <c r="DV12" s="17">
        <v>114</v>
      </c>
      <c r="DW12" s="17">
        <v>115</v>
      </c>
      <c r="DX12" s="17">
        <v>116</v>
      </c>
      <c r="DY12" s="17">
        <v>117</v>
      </c>
      <c r="DZ12" s="17">
        <v>118</v>
      </c>
      <c r="EA12" s="17">
        <v>119</v>
      </c>
      <c r="EB12" s="17">
        <v>120</v>
      </c>
      <c r="EC12" s="17">
        <v>121</v>
      </c>
      <c r="ED12" s="17">
        <v>122</v>
      </c>
      <c r="EE12" s="17">
        <v>123</v>
      </c>
      <c r="EF12" s="17">
        <v>124</v>
      </c>
      <c r="EG12" s="17">
        <v>125</v>
      </c>
      <c r="EH12" s="17">
        <v>126</v>
      </c>
      <c r="EI12" s="17">
        <v>127</v>
      </c>
      <c r="EJ12" s="17">
        <v>128</v>
      </c>
      <c r="EK12" s="17">
        <v>129</v>
      </c>
      <c r="EL12" s="17">
        <v>130</v>
      </c>
      <c r="EM12" s="17">
        <v>131</v>
      </c>
      <c r="EN12" s="17">
        <v>132</v>
      </c>
      <c r="EO12" s="17">
        <v>133</v>
      </c>
      <c r="EP12" s="17">
        <v>134</v>
      </c>
      <c r="EQ12" s="17">
        <v>135</v>
      </c>
      <c r="ER12" s="17">
        <v>136</v>
      </c>
      <c r="ES12" s="17">
        <v>137</v>
      </c>
      <c r="ET12" s="17">
        <v>138</v>
      </c>
      <c r="EU12" s="17">
        <v>139</v>
      </c>
      <c r="EV12" s="17">
        <v>140</v>
      </c>
      <c r="EW12" s="17">
        <v>141</v>
      </c>
      <c r="EX12" s="17">
        <v>142</v>
      </c>
      <c r="EY12" s="17">
        <v>143</v>
      </c>
      <c r="EZ12" s="17">
        <v>144</v>
      </c>
      <c r="FA12" s="17">
        <v>145</v>
      </c>
      <c r="FB12" s="17">
        <v>146</v>
      </c>
      <c r="FC12" s="17">
        <v>147</v>
      </c>
      <c r="FD12" s="17">
        <v>148</v>
      </c>
      <c r="FE12" s="17">
        <v>149</v>
      </c>
      <c r="FF12" s="17">
        <v>150</v>
      </c>
      <c r="FG12" s="17">
        <v>151</v>
      </c>
      <c r="FH12" s="17">
        <v>152</v>
      </c>
      <c r="FI12" s="17">
        <v>153</v>
      </c>
      <c r="FJ12" s="17">
        <v>154</v>
      </c>
      <c r="FK12" s="17">
        <v>155</v>
      </c>
      <c r="FL12" s="17">
        <v>156</v>
      </c>
      <c r="FM12" s="17">
        <v>157</v>
      </c>
      <c r="FN12" s="17">
        <v>158</v>
      </c>
      <c r="FO12" s="17">
        <v>159</v>
      </c>
      <c r="FP12" s="17">
        <v>160</v>
      </c>
      <c r="FQ12" s="17">
        <v>161</v>
      </c>
      <c r="FR12" s="17">
        <v>162</v>
      </c>
      <c r="FS12" s="17">
        <v>163</v>
      </c>
      <c r="FT12" s="17">
        <v>164</v>
      </c>
      <c r="FU12" s="17">
        <v>165</v>
      </c>
      <c r="FV12" s="17">
        <v>166</v>
      </c>
      <c r="FW12" s="17">
        <v>167</v>
      </c>
      <c r="FX12" s="17">
        <v>168</v>
      </c>
      <c r="FY12" s="17">
        <v>169</v>
      </c>
      <c r="FZ12" s="17">
        <v>170</v>
      </c>
      <c r="GA12" s="17">
        <v>171</v>
      </c>
      <c r="GB12" s="17">
        <v>172</v>
      </c>
      <c r="GC12" s="17">
        <v>173</v>
      </c>
      <c r="GD12" s="17">
        <v>174</v>
      </c>
      <c r="GE12" s="17">
        <v>175</v>
      </c>
      <c r="GF12" s="17">
        <v>176</v>
      </c>
      <c r="GG12" s="17">
        <v>177</v>
      </c>
      <c r="GH12" s="17">
        <v>178</v>
      </c>
      <c r="GI12" s="17">
        <v>179</v>
      </c>
      <c r="GJ12" s="17">
        <v>180</v>
      </c>
      <c r="GK12" s="17">
        <v>181</v>
      </c>
      <c r="GL12" s="17">
        <v>182</v>
      </c>
      <c r="GM12" s="17">
        <v>183</v>
      </c>
      <c r="GN12" s="17">
        <v>184</v>
      </c>
      <c r="GO12" s="17">
        <v>185</v>
      </c>
      <c r="GP12" s="17">
        <v>186</v>
      </c>
      <c r="GQ12" s="17">
        <v>187</v>
      </c>
      <c r="GR12" s="17">
        <v>188</v>
      </c>
      <c r="GS12" s="17">
        <v>189</v>
      </c>
      <c r="GT12" s="17">
        <v>190</v>
      </c>
      <c r="GU12" s="17">
        <v>191</v>
      </c>
      <c r="GV12" s="17">
        <v>192</v>
      </c>
      <c r="GW12" s="17">
        <v>193</v>
      </c>
      <c r="GX12" s="17">
        <v>194</v>
      </c>
      <c r="GY12" s="17">
        <v>195</v>
      </c>
      <c r="GZ12" s="17">
        <v>196</v>
      </c>
      <c r="HA12" s="17">
        <v>197</v>
      </c>
      <c r="HB12" s="17">
        <v>198</v>
      </c>
      <c r="HC12" s="17">
        <v>199</v>
      </c>
      <c r="HD12" s="17">
        <v>200</v>
      </c>
      <c r="HE12" s="17">
        <v>201</v>
      </c>
      <c r="HF12" s="17">
        <v>202</v>
      </c>
      <c r="HG12" s="17">
        <v>203</v>
      </c>
      <c r="HH12" s="17">
        <v>204</v>
      </c>
      <c r="HI12" s="17">
        <v>205</v>
      </c>
      <c r="HJ12" s="17">
        <v>206</v>
      </c>
      <c r="HK12" s="17">
        <v>207</v>
      </c>
      <c r="HL12" s="17">
        <v>208</v>
      </c>
      <c r="HM12" s="17">
        <v>209</v>
      </c>
      <c r="HN12" s="17">
        <v>210</v>
      </c>
    </row>
    <row r="13" spans="2:222" ht="15" customHeight="1">
      <c r="B13" s="25"/>
      <c r="C13" s="20"/>
      <c r="F13" s="44"/>
      <c r="G13" s="45"/>
      <c r="H13" s="205"/>
      <c r="I13" s="205"/>
      <c r="J13" s="97"/>
      <c r="L13" s="41" t="s">
        <v>29</v>
      </c>
      <c r="M13" s="18" t="str">
        <f t="shared" ref="M13:AR13" si="28">TEXT(M14,"TTT")</f>
        <v>Mon</v>
      </c>
      <c r="N13" s="18" t="str">
        <f t="shared" si="28"/>
        <v>Tue</v>
      </c>
      <c r="O13" s="18" t="str">
        <f t="shared" si="28"/>
        <v>Wed</v>
      </c>
      <c r="P13" s="18" t="str">
        <f t="shared" si="28"/>
        <v>Thu</v>
      </c>
      <c r="Q13" s="18" t="str">
        <f t="shared" si="28"/>
        <v>Fri</v>
      </c>
      <c r="R13" s="18" t="str">
        <f t="shared" si="28"/>
        <v>Sat</v>
      </c>
      <c r="S13" s="18" t="str">
        <f t="shared" si="28"/>
        <v>Sun</v>
      </c>
      <c r="T13" s="18" t="str">
        <f t="shared" si="28"/>
        <v>Mon</v>
      </c>
      <c r="U13" s="18" t="str">
        <f t="shared" si="28"/>
        <v>Tue</v>
      </c>
      <c r="V13" s="18" t="str">
        <f t="shared" si="28"/>
        <v>Wed</v>
      </c>
      <c r="W13" s="18" t="str">
        <f t="shared" si="28"/>
        <v>Thu</v>
      </c>
      <c r="X13" s="18" t="str">
        <f t="shared" si="28"/>
        <v>Fri</v>
      </c>
      <c r="Y13" s="18" t="str">
        <f t="shared" si="28"/>
        <v>Sat</v>
      </c>
      <c r="Z13" s="18" t="str">
        <f t="shared" si="28"/>
        <v>Sun</v>
      </c>
      <c r="AA13" s="18" t="str">
        <f t="shared" si="28"/>
        <v>Mon</v>
      </c>
      <c r="AB13" s="18" t="str">
        <f t="shared" si="28"/>
        <v>Tue</v>
      </c>
      <c r="AC13" s="18" t="str">
        <f t="shared" si="28"/>
        <v>Wed</v>
      </c>
      <c r="AD13" s="18" t="str">
        <f t="shared" si="28"/>
        <v>Thu</v>
      </c>
      <c r="AE13" s="18" t="str">
        <f t="shared" si="28"/>
        <v>Fri</v>
      </c>
      <c r="AF13" s="18" t="str">
        <f t="shared" si="28"/>
        <v>Sat</v>
      </c>
      <c r="AG13" s="18" t="str">
        <f t="shared" si="28"/>
        <v>Sun</v>
      </c>
      <c r="AH13" s="18" t="str">
        <f t="shared" si="28"/>
        <v>Mon</v>
      </c>
      <c r="AI13" s="18" t="str">
        <f t="shared" si="28"/>
        <v>Tue</v>
      </c>
      <c r="AJ13" s="18" t="str">
        <f t="shared" si="28"/>
        <v>Wed</v>
      </c>
      <c r="AK13" s="18" t="str">
        <f t="shared" si="28"/>
        <v>Thu</v>
      </c>
      <c r="AL13" s="18" t="str">
        <f t="shared" si="28"/>
        <v>Fri</v>
      </c>
      <c r="AM13" s="18" t="str">
        <f t="shared" si="28"/>
        <v>Sat</v>
      </c>
      <c r="AN13" s="18" t="str">
        <f t="shared" si="28"/>
        <v>Sun</v>
      </c>
      <c r="AO13" s="18" t="str">
        <f t="shared" si="28"/>
        <v>Mon</v>
      </c>
      <c r="AP13" s="18" t="str">
        <f t="shared" si="28"/>
        <v>Tue</v>
      </c>
      <c r="AQ13" s="18" t="str">
        <f t="shared" si="28"/>
        <v>Wed</v>
      </c>
      <c r="AR13" s="18" t="str">
        <f t="shared" si="28"/>
        <v>Thu</v>
      </c>
      <c r="AS13" s="18" t="str">
        <f t="shared" ref="AS13:BX13" si="29">TEXT(AS14,"TTT")</f>
        <v>Fri</v>
      </c>
      <c r="AT13" s="18" t="str">
        <f t="shared" si="29"/>
        <v>Sat</v>
      </c>
      <c r="AU13" s="18" t="str">
        <f t="shared" si="29"/>
        <v>Sun</v>
      </c>
      <c r="AV13" s="18" t="str">
        <f t="shared" si="29"/>
        <v>Mon</v>
      </c>
      <c r="AW13" s="18" t="str">
        <f t="shared" si="29"/>
        <v>Tue</v>
      </c>
      <c r="AX13" s="18" t="str">
        <f t="shared" si="29"/>
        <v>Wed</v>
      </c>
      <c r="AY13" s="18" t="str">
        <f t="shared" si="29"/>
        <v>Thu</v>
      </c>
      <c r="AZ13" s="18" t="str">
        <f t="shared" si="29"/>
        <v>Fri</v>
      </c>
      <c r="BA13" s="18" t="str">
        <f t="shared" si="29"/>
        <v>Sat</v>
      </c>
      <c r="BB13" s="18" t="str">
        <f t="shared" si="29"/>
        <v>Sun</v>
      </c>
      <c r="BC13" s="18" t="str">
        <f t="shared" si="29"/>
        <v>Mon</v>
      </c>
      <c r="BD13" s="18" t="str">
        <f t="shared" si="29"/>
        <v>Tue</v>
      </c>
      <c r="BE13" s="18" t="str">
        <f t="shared" si="29"/>
        <v>Wed</v>
      </c>
      <c r="BF13" s="18" t="str">
        <f t="shared" si="29"/>
        <v>Thu</v>
      </c>
      <c r="BG13" s="18" t="str">
        <f t="shared" si="29"/>
        <v>Fri</v>
      </c>
      <c r="BH13" s="18" t="str">
        <f t="shared" si="29"/>
        <v>Sat</v>
      </c>
      <c r="BI13" s="18" t="str">
        <f t="shared" si="29"/>
        <v>Sun</v>
      </c>
      <c r="BJ13" s="18" t="str">
        <f t="shared" si="29"/>
        <v>Mon</v>
      </c>
      <c r="BK13" s="18" t="str">
        <f t="shared" si="29"/>
        <v>Tue</v>
      </c>
      <c r="BL13" s="18" t="str">
        <f t="shared" si="29"/>
        <v>Wed</v>
      </c>
      <c r="BM13" s="18" t="str">
        <f t="shared" si="29"/>
        <v>Thu</v>
      </c>
      <c r="BN13" s="18" t="str">
        <f t="shared" si="29"/>
        <v>Fri</v>
      </c>
      <c r="BO13" s="18" t="str">
        <f t="shared" si="29"/>
        <v>Sat</v>
      </c>
      <c r="BP13" s="18" t="str">
        <f t="shared" si="29"/>
        <v>Sun</v>
      </c>
      <c r="BQ13" s="18" t="str">
        <f t="shared" si="29"/>
        <v>Mon</v>
      </c>
      <c r="BR13" s="18" t="str">
        <f t="shared" si="29"/>
        <v>Tue</v>
      </c>
      <c r="BS13" s="18" t="str">
        <f t="shared" si="29"/>
        <v>Wed</v>
      </c>
      <c r="BT13" s="18" t="str">
        <f t="shared" si="29"/>
        <v>Thu</v>
      </c>
      <c r="BU13" s="18" t="str">
        <f t="shared" si="29"/>
        <v>Fri</v>
      </c>
      <c r="BV13" s="18" t="str">
        <f t="shared" si="29"/>
        <v>Sat</v>
      </c>
      <c r="BW13" s="18" t="str">
        <f t="shared" si="29"/>
        <v>Sun</v>
      </c>
      <c r="BX13" s="18" t="str">
        <f t="shared" si="29"/>
        <v>Mon</v>
      </c>
      <c r="BY13" s="18" t="str">
        <f t="shared" ref="BY13:DD13" si="30">TEXT(BY14,"TTT")</f>
        <v>Tue</v>
      </c>
      <c r="BZ13" s="18" t="str">
        <f t="shared" si="30"/>
        <v>Wed</v>
      </c>
      <c r="CA13" s="18" t="str">
        <f t="shared" si="30"/>
        <v>Thu</v>
      </c>
      <c r="CB13" s="18" t="str">
        <f t="shared" si="30"/>
        <v>Fri</v>
      </c>
      <c r="CC13" s="18" t="str">
        <f t="shared" si="30"/>
        <v>Sat</v>
      </c>
      <c r="CD13" s="18" t="str">
        <f t="shared" si="30"/>
        <v>Sun</v>
      </c>
      <c r="CE13" s="18" t="str">
        <f t="shared" si="30"/>
        <v>Mon</v>
      </c>
      <c r="CF13" s="18" t="str">
        <f t="shared" si="30"/>
        <v>Tue</v>
      </c>
      <c r="CG13" s="18" t="str">
        <f t="shared" si="30"/>
        <v>Wed</v>
      </c>
      <c r="CH13" s="18" t="str">
        <f t="shared" si="30"/>
        <v>Thu</v>
      </c>
      <c r="CI13" s="18" t="str">
        <f t="shared" si="30"/>
        <v>Fri</v>
      </c>
      <c r="CJ13" s="18" t="str">
        <f t="shared" si="30"/>
        <v>Sat</v>
      </c>
      <c r="CK13" s="18" t="str">
        <f t="shared" si="30"/>
        <v>Sun</v>
      </c>
      <c r="CL13" s="18" t="str">
        <f t="shared" si="30"/>
        <v>Mon</v>
      </c>
      <c r="CM13" s="18" t="str">
        <f t="shared" si="30"/>
        <v>Tue</v>
      </c>
      <c r="CN13" s="18" t="str">
        <f t="shared" si="30"/>
        <v>Wed</v>
      </c>
      <c r="CO13" s="18" t="str">
        <f t="shared" si="30"/>
        <v>Thu</v>
      </c>
      <c r="CP13" s="18" t="str">
        <f t="shared" si="30"/>
        <v>Fri</v>
      </c>
      <c r="CQ13" s="18" t="str">
        <f t="shared" si="30"/>
        <v>Sat</v>
      </c>
      <c r="CR13" s="18" t="str">
        <f t="shared" si="30"/>
        <v>Sun</v>
      </c>
      <c r="CS13" s="18" t="str">
        <f t="shared" si="30"/>
        <v>Mon</v>
      </c>
      <c r="CT13" s="18" t="str">
        <f t="shared" si="30"/>
        <v>Tue</v>
      </c>
      <c r="CU13" s="18" t="str">
        <f t="shared" si="30"/>
        <v>Wed</v>
      </c>
      <c r="CV13" s="18" t="str">
        <f t="shared" si="30"/>
        <v>Thu</v>
      </c>
      <c r="CW13" s="18" t="str">
        <f t="shared" si="30"/>
        <v>Fri</v>
      </c>
      <c r="CX13" s="18" t="str">
        <f t="shared" si="30"/>
        <v>Sat</v>
      </c>
      <c r="CY13" s="18" t="str">
        <f t="shared" si="30"/>
        <v>Sun</v>
      </c>
      <c r="CZ13" s="18" t="str">
        <f t="shared" si="30"/>
        <v>Mon</v>
      </c>
      <c r="DA13" s="18" t="str">
        <f t="shared" si="30"/>
        <v>Tue</v>
      </c>
      <c r="DB13" s="18" t="str">
        <f t="shared" si="30"/>
        <v>Wed</v>
      </c>
      <c r="DC13" s="18" t="str">
        <f t="shared" si="30"/>
        <v>Thu</v>
      </c>
      <c r="DD13" s="18" t="str">
        <f t="shared" si="30"/>
        <v>Fri</v>
      </c>
      <c r="DE13" s="18" t="str">
        <f t="shared" ref="DE13:EJ13" si="31">TEXT(DE14,"TTT")</f>
        <v>Sat</v>
      </c>
      <c r="DF13" s="18" t="str">
        <f t="shared" si="31"/>
        <v>Sun</v>
      </c>
      <c r="DG13" s="18" t="str">
        <f t="shared" si="31"/>
        <v>Mon</v>
      </c>
      <c r="DH13" s="18" t="str">
        <f t="shared" si="31"/>
        <v>Tue</v>
      </c>
      <c r="DI13" s="18" t="str">
        <f t="shared" si="31"/>
        <v>Wed</v>
      </c>
      <c r="DJ13" s="18" t="str">
        <f t="shared" si="31"/>
        <v>Thu</v>
      </c>
      <c r="DK13" s="18" t="str">
        <f t="shared" si="31"/>
        <v>Fri</v>
      </c>
      <c r="DL13" s="18" t="str">
        <f t="shared" si="31"/>
        <v>Sat</v>
      </c>
      <c r="DM13" s="18" t="str">
        <f t="shared" si="31"/>
        <v>Sun</v>
      </c>
      <c r="DN13" s="18" t="str">
        <f t="shared" si="31"/>
        <v>Mon</v>
      </c>
      <c r="DO13" s="18" t="str">
        <f t="shared" si="31"/>
        <v>Tue</v>
      </c>
      <c r="DP13" s="18" t="str">
        <f t="shared" si="31"/>
        <v>Wed</v>
      </c>
      <c r="DQ13" s="18" t="str">
        <f t="shared" si="31"/>
        <v>Thu</v>
      </c>
      <c r="DR13" s="18" t="str">
        <f t="shared" si="31"/>
        <v>Fri</v>
      </c>
      <c r="DS13" s="18" t="str">
        <f t="shared" si="31"/>
        <v>Sat</v>
      </c>
      <c r="DT13" s="18" t="str">
        <f t="shared" si="31"/>
        <v>Sun</v>
      </c>
      <c r="DU13" s="18" t="str">
        <f t="shared" si="31"/>
        <v>Mon</v>
      </c>
      <c r="DV13" s="18" t="str">
        <f t="shared" si="31"/>
        <v>Tue</v>
      </c>
      <c r="DW13" s="18" t="str">
        <f t="shared" si="31"/>
        <v>Wed</v>
      </c>
      <c r="DX13" s="18" t="str">
        <f t="shared" si="31"/>
        <v>Thu</v>
      </c>
      <c r="DY13" s="18" t="str">
        <f t="shared" si="31"/>
        <v>Fri</v>
      </c>
      <c r="DZ13" s="18" t="str">
        <f t="shared" si="31"/>
        <v>Sat</v>
      </c>
      <c r="EA13" s="18" t="str">
        <f t="shared" si="31"/>
        <v>Sun</v>
      </c>
      <c r="EB13" s="18" t="str">
        <f t="shared" si="31"/>
        <v>Mon</v>
      </c>
      <c r="EC13" s="18" t="str">
        <f t="shared" si="31"/>
        <v>Tue</v>
      </c>
      <c r="ED13" s="18" t="str">
        <f t="shared" si="31"/>
        <v>Wed</v>
      </c>
      <c r="EE13" s="18" t="str">
        <f t="shared" si="31"/>
        <v>Thu</v>
      </c>
      <c r="EF13" s="18" t="str">
        <f t="shared" si="31"/>
        <v>Fri</v>
      </c>
      <c r="EG13" s="18" t="str">
        <f t="shared" si="31"/>
        <v>Sat</v>
      </c>
      <c r="EH13" s="18" t="str">
        <f t="shared" si="31"/>
        <v>Sun</v>
      </c>
      <c r="EI13" s="18" t="str">
        <f t="shared" si="31"/>
        <v>Mon</v>
      </c>
      <c r="EJ13" s="18" t="str">
        <f t="shared" si="31"/>
        <v>Tue</v>
      </c>
      <c r="EK13" s="18" t="str">
        <f t="shared" ref="EK13:FP13" si="32">TEXT(EK14,"TTT")</f>
        <v>Wed</v>
      </c>
      <c r="EL13" s="18" t="str">
        <f t="shared" si="32"/>
        <v>Thu</v>
      </c>
      <c r="EM13" s="18" t="str">
        <f t="shared" si="32"/>
        <v>Fri</v>
      </c>
      <c r="EN13" s="18" t="str">
        <f t="shared" si="32"/>
        <v>Sat</v>
      </c>
      <c r="EO13" s="18" t="str">
        <f t="shared" si="32"/>
        <v>Sun</v>
      </c>
      <c r="EP13" s="18" t="str">
        <f t="shared" si="32"/>
        <v>Mon</v>
      </c>
      <c r="EQ13" s="18" t="str">
        <f t="shared" si="32"/>
        <v>Tue</v>
      </c>
      <c r="ER13" s="18" t="str">
        <f t="shared" si="32"/>
        <v>Wed</v>
      </c>
      <c r="ES13" s="18" t="str">
        <f t="shared" si="32"/>
        <v>Thu</v>
      </c>
      <c r="ET13" s="18" t="str">
        <f t="shared" si="32"/>
        <v>Fri</v>
      </c>
      <c r="EU13" s="18" t="str">
        <f t="shared" si="32"/>
        <v>Sat</v>
      </c>
      <c r="EV13" s="18" t="str">
        <f t="shared" si="32"/>
        <v>Sun</v>
      </c>
      <c r="EW13" s="18" t="str">
        <f t="shared" si="32"/>
        <v>Mon</v>
      </c>
      <c r="EX13" s="18" t="str">
        <f t="shared" si="32"/>
        <v>Tue</v>
      </c>
      <c r="EY13" s="18" t="str">
        <f t="shared" si="32"/>
        <v>Wed</v>
      </c>
      <c r="EZ13" s="18" t="str">
        <f t="shared" si="32"/>
        <v>Thu</v>
      </c>
      <c r="FA13" s="18" t="str">
        <f t="shared" si="32"/>
        <v>Fri</v>
      </c>
      <c r="FB13" s="18" t="str">
        <f t="shared" si="32"/>
        <v>Sat</v>
      </c>
      <c r="FC13" s="18" t="str">
        <f t="shared" si="32"/>
        <v>Sun</v>
      </c>
      <c r="FD13" s="18" t="str">
        <f t="shared" si="32"/>
        <v>Mon</v>
      </c>
      <c r="FE13" s="18" t="str">
        <f t="shared" si="32"/>
        <v>Tue</v>
      </c>
      <c r="FF13" s="18" t="str">
        <f t="shared" si="32"/>
        <v>Wed</v>
      </c>
      <c r="FG13" s="18" t="str">
        <f t="shared" si="32"/>
        <v>Thu</v>
      </c>
      <c r="FH13" s="18" t="str">
        <f t="shared" si="32"/>
        <v>Fri</v>
      </c>
      <c r="FI13" s="18" t="str">
        <f t="shared" si="32"/>
        <v>Sat</v>
      </c>
      <c r="FJ13" s="18" t="str">
        <f t="shared" si="32"/>
        <v>Sun</v>
      </c>
      <c r="FK13" s="18" t="str">
        <f t="shared" si="32"/>
        <v>Mon</v>
      </c>
      <c r="FL13" s="18" t="str">
        <f t="shared" si="32"/>
        <v>Tue</v>
      </c>
      <c r="FM13" s="18" t="str">
        <f t="shared" si="32"/>
        <v>Wed</v>
      </c>
      <c r="FN13" s="18" t="str">
        <f t="shared" si="32"/>
        <v>Thu</v>
      </c>
      <c r="FO13" s="18" t="str">
        <f t="shared" si="32"/>
        <v>Fri</v>
      </c>
      <c r="FP13" s="18" t="str">
        <f t="shared" si="32"/>
        <v>Sat</v>
      </c>
      <c r="FQ13" s="18" t="str">
        <f t="shared" ref="FQ13:HN13" si="33">TEXT(FQ14,"TTT")</f>
        <v>Sun</v>
      </c>
      <c r="FR13" s="18" t="str">
        <f t="shared" si="33"/>
        <v>Mon</v>
      </c>
      <c r="FS13" s="18" t="str">
        <f t="shared" si="33"/>
        <v>Tue</v>
      </c>
      <c r="FT13" s="18" t="str">
        <f t="shared" si="33"/>
        <v>Wed</v>
      </c>
      <c r="FU13" s="18" t="str">
        <f t="shared" si="33"/>
        <v>Thu</v>
      </c>
      <c r="FV13" s="18" t="str">
        <f t="shared" si="33"/>
        <v>Fri</v>
      </c>
      <c r="FW13" s="18" t="str">
        <f t="shared" si="33"/>
        <v>Sat</v>
      </c>
      <c r="FX13" s="18" t="str">
        <f t="shared" si="33"/>
        <v>Sun</v>
      </c>
      <c r="FY13" s="18" t="str">
        <f t="shared" si="33"/>
        <v>Mon</v>
      </c>
      <c r="FZ13" s="18" t="str">
        <f t="shared" si="33"/>
        <v>Tue</v>
      </c>
      <c r="GA13" s="18" t="str">
        <f t="shared" si="33"/>
        <v>Wed</v>
      </c>
      <c r="GB13" s="18" t="str">
        <f t="shared" si="33"/>
        <v>Thu</v>
      </c>
      <c r="GC13" s="18" t="str">
        <f t="shared" si="33"/>
        <v>Fri</v>
      </c>
      <c r="GD13" s="18" t="str">
        <f t="shared" si="33"/>
        <v>Sat</v>
      </c>
      <c r="GE13" s="18" t="str">
        <f t="shared" si="33"/>
        <v>Sun</v>
      </c>
      <c r="GF13" s="18" t="str">
        <f t="shared" si="33"/>
        <v>Mon</v>
      </c>
      <c r="GG13" s="18" t="str">
        <f t="shared" si="33"/>
        <v>Tue</v>
      </c>
      <c r="GH13" s="18" t="str">
        <f t="shared" si="33"/>
        <v>Wed</v>
      </c>
      <c r="GI13" s="18" t="str">
        <f t="shared" si="33"/>
        <v>Thu</v>
      </c>
      <c r="GJ13" s="18" t="str">
        <f t="shared" si="33"/>
        <v>Fri</v>
      </c>
      <c r="GK13" s="18" t="str">
        <f t="shared" si="33"/>
        <v>Sat</v>
      </c>
      <c r="GL13" s="18" t="str">
        <f t="shared" si="33"/>
        <v>Sun</v>
      </c>
      <c r="GM13" s="18" t="str">
        <f t="shared" si="33"/>
        <v>Mon</v>
      </c>
      <c r="GN13" s="18" t="str">
        <f t="shared" si="33"/>
        <v>Tue</v>
      </c>
      <c r="GO13" s="18" t="str">
        <f t="shared" si="33"/>
        <v>Wed</v>
      </c>
      <c r="GP13" s="18" t="str">
        <f t="shared" si="33"/>
        <v>Thu</v>
      </c>
      <c r="GQ13" s="18" t="str">
        <f t="shared" si="33"/>
        <v>Fri</v>
      </c>
      <c r="GR13" s="18" t="str">
        <f t="shared" si="33"/>
        <v>Sat</v>
      </c>
      <c r="GS13" s="18" t="str">
        <f t="shared" si="33"/>
        <v>Sun</v>
      </c>
      <c r="GT13" s="18" t="str">
        <f t="shared" si="33"/>
        <v>Mon</v>
      </c>
      <c r="GU13" s="18" t="str">
        <f t="shared" si="33"/>
        <v>Tue</v>
      </c>
      <c r="GV13" s="18" t="str">
        <f t="shared" si="33"/>
        <v>Wed</v>
      </c>
      <c r="GW13" s="18" t="str">
        <f t="shared" si="33"/>
        <v>Thu</v>
      </c>
      <c r="GX13" s="18" t="str">
        <f t="shared" si="33"/>
        <v>Fri</v>
      </c>
      <c r="GY13" s="18" t="str">
        <f t="shared" si="33"/>
        <v>Sat</v>
      </c>
      <c r="GZ13" s="18" t="str">
        <f t="shared" si="33"/>
        <v>Sun</v>
      </c>
      <c r="HA13" s="18" t="str">
        <f t="shared" si="33"/>
        <v>Mon</v>
      </c>
      <c r="HB13" s="18" t="str">
        <f t="shared" si="33"/>
        <v>Tue</v>
      </c>
      <c r="HC13" s="18" t="str">
        <f t="shared" si="33"/>
        <v>Wed</v>
      </c>
      <c r="HD13" s="18" t="str">
        <f t="shared" si="33"/>
        <v>Thu</v>
      </c>
      <c r="HE13" s="18" t="str">
        <f t="shared" si="33"/>
        <v>Fri</v>
      </c>
      <c r="HF13" s="18" t="str">
        <f t="shared" si="33"/>
        <v>Sat</v>
      </c>
      <c r="HG13" s="18" t="str">
        <f t="shared" si="33"/>
        <v>Sun</v>
      </c>
      <c r="HH13" s="18" t="str">
        <f t="shared" si="33"/>
        <v>Mon</v>
      </c>
      <c r="HI13" s="18" t="str">
        <f t="shared" si="33"/>
        <v>Tue</v>
      </c>
      <c r="HJ13" s="18" t="str">
        <f t="shared" si="33"/>
        <v>Wed</v>
      </c>
      <c r="HK13" s="18" t="str">
        <f t="shared" si="33"/>
        <v>Thu</v>
      </c>
      <c r="HL13" s="18" t="str">
        <f t="shared" si="33"/>
        <v>Fri</v>
      </c>
      <c r="HM13" s="18" t="str">
        <f t="shared" si="33"/>
        <v>Sat</v>
      </c>
      <c r="HN13" s="18" t="str">
        <f t="shared" si="33"/>
        <v>Sun</v>
      </c>
    </row>
    <row r="14" spans="2:222" ht="15" thickBot="1">
      <c r="E14" s="26"/>
      <c r="F14" s="26"/>
      <c r="G14" s="26"/>
      <c r="H14" s="26"/>
      <c r="I14" s="26"/>
      <c r="J14" s="26"/>
      <c r="K14" s="26"/>
      <c r="L14" s="42" t="s">
        <v>20</v>
      </c>
      <c r="M14" s="36">
        <f>H11</f>
        <v>44284</v>
      </c>
      <c r="N14" s="36">
        <f>M14+1</f>
        <v>44285</v>
      </c>
      <c r="O14" s="36">
        <f t="shared" ref="O14:BZ14" si="34">N14+1</f>
        <v>44286</v>
      </c>
      <c r="P14" s="36">
        <f t="shared" si="34"/>
        <v>44287</v>
      </c>
      <c r="Q14" s="36">
        <f t="shared" si="34"/>
        <v>44288</v>
      </c>
      <c r="R14" s="36">
        <f t="shared" si="34"/>
        <v>44289</v>
      </c>
      <c r="S14" s="36">
        <f t="shared" si="34"/>
        <v>44290</v>
      </c>
      <c r="T14" s="36">
        <f t="shared" si="34"/>
        <v>44291</v>
      </c>
      <c r="U14" s="36">
        <f t="shared" si="34"/>
        <v>44292</v>
      </c>
      <c r="V14" s="36">
        <f t="shared" si="34"/>
        <v>44293</v>
      </c>
      <c r="W14" s="36">
        <f t="shared" si="34"/>
        <v>44294</v>
      </c>
      <c r="X14" s="36">
        <f t="shared" si="34"/>
        <v>44295</v>
      </c>
      <c r="Y14" s="36">
        <f t="shared" si="34"/>
        <v>44296</v>
      </c>
      <c r="Z14" s="36">
        <f t="shared" si="34"/>
        <v>44297</v>
      </c>
      <c r="AA14" s="36">
        <f t="shared" si="34"/>
        <v>44298</v>
      </c>
      <c r="AB14" s="36">
        <f t="shared" si="34"/>
        <v>44299</v>
      </c>
      <c r="AC14" s="36">
        <f t="shared" si="34"/>
        <v>44300</v>
      </c>
      <c r="AD14" s="36">
        <f t="shared" si="34"/>
        <v>44301</v>
      </c>
      <c r="AE14" s="36">
        <f t="shared" si="34"/>
        <v>44302</v>
      </c>
      <c r="AF14" s="36">
        <f t="shared" si="34"/>
        <v>44303</v>
      </c>
      <c r="AG14" s="36">
        <f t="shared" si="34"/>
        <v>44304</v>
      </c>
      <c r="AH14" s="36">
        <f t="shared" si="34"/>
        <v>44305</v>
      </c>
      <c r="AI14" s="36">
        <f t="shared" si="34"/>
        <v>44306</v>
      </c>
      <c r="AJ14" s="36">
        <f t="shared" si="34"/>
        <v>44307</v>
      </c>
      <c r="AK14" s="36">
        <f t="shared" si="34"/>
        <v>44308</v>
      </c>
      <c r="AL14" s="36">
        <f t="shared" si="34"/>
        <v>44309</v>
      </c>
      <c r="AM14" s="36">
        <f t="shared" si="34"/>
        <v>44310</v>
      </c>
      <c r="AN14" s="36">
        <f t="shared" si="34"/>
        <v>44311</v>
      </c>
      <c r="AO14" s="36">
        <f t="shared" si="34"/>
        <v>44312</v>
      </c>
      <c r="AP14" s="36">
        <f t="shared" si="34"/>
        <v>44313</v>
      </c>
      <c r="AQ14" s="36">
        <f t="shared" si="34"/>
        <v>44314</v>
      </c>
      <c r="AR14" s="36">
        <f t="shared" si="34"/>
        <v>44315</v>
      </c>
      <c r="AS14" s="36">
        <f t="shared" si="34"/>
        <v>44316</v>
      </c>
      <c r="AT14" s="36">
        <f t="shared" si="34"/>
        <v>44317</v>
      </c>
      <c r="AU14" s="36">
        <f t="shared" si="34"/>
        <v>44318</v>
      </c>
      <c r="AV14" s="36">
        <f t="shared" si="34"/>
        <v>44319</v>
      </c>
      <c r="AW14" s="36">
        <f t="shared" si="34"/>
        <v>44320</v>
      </c>
      <c r="AX14" s="36">
        <f t="shared" si="34"/>
        <v>44321</v>
      </c>
      <c r="AY14" s="36">
        <f t="shared" si="34"/>
        <v>44322</v>
      </c>
      <c r="AZ14" s="36">
        <f t="shared" si="34"/>
        <v>44323</v>
      </c>
      <c r="BA14" s="36">
        <f t="shared" si="34"/>
        <v>44324</v>
      </c>
      <c r="BB14" s="36">
        <f t="shared" si="34"/>
        <v>44325</v>
      </c>
      <c r="BC14" s="36">
        <f t="shared" si="34"/>
        <v>44326</v>
      </c>
      <c r="BD14" s="36">
        <f t="shared" si="34"/>
        <v>44327</v>
      </c>
      <c r="BE14" s="36">
        <f t="shared" si="34"/>
        <v>44328</v>
      </c>
      <c r="BF14" s="36">
        <f t="shared" si="34"/>
        <v>44329</v>
      </c>
      <c r="BG14" s="36">
        <f t="shared" si="34"/>
        <v>44330</v>
      </c>
      <c r="BH14" s="36">
        <f t="shared" si="34"/>
        <v>44331</v>
      </c>
      <c r="BI14" s="36">
        <f t="shared" si="34"/>
        <v>44332</v>
      </c>
      <c r="BJ14" s="36">
        <f t="shared" si="34"/>
        <v>44333</v>
      </c>
      <c r="BK14" s="36">
        <f t="shared" si="34"/>
        <v>44334</v>
      </c>
      <c r="BL14" s="36">
        <f t="shared" si="34"/>
        <v>44335</v>
      </c>
      <c r="BM14" s="36">
        <f t="shared" si="34"/>
        <v>44336</v>
      </c>
      <c r="BN14" s="36">
        <f t="shared" si="34"/>
        <v>44337</v>
      </c>
      <c r="BO14" s="36">
        <f t="shared" si="34"/>
        <v>44338</v>
      </c>
      <c r="BP14" s="36">
        <f t="shared" si="34"/>
        <v>44339</v>
      </c>
      <c r="BQ14" s="36">
        <f t="shared" si="34"/>
        <v>44340</v>
      </c>
      <c r="BR14" s="36">
        <f t="shared" si="34"/>
        <v>44341</v>
      </c>
      <c r="BS14" s="36">
        <f t="shared" si="34"/>
        <v>44342</v>
      </c>
      <c r="BT14" s="36">
        <f t="shared" si="34"/>
        <v>44343</v>
      </c>
      <c r="BU14" s="36">
        <f t="shared" si="34"/>
        <v>44344</v>
      </c>
      <c r="BV14" s="36">
        <f t="shared" si="34"/>
        <v>44345</v>
      </c>
      <c r="BW14" s="36">
        <f t="shared" si="34"/>
        <v>44346</v>
      </c>
      <c r="BX14" s="36">
        <f t="shared" si="34"/>
        <v>44347</v>
      </c>
      <c r="BY14" s="36">
        <f t="shared" si="34"/>
        <v>44348</v>
      </c>
      <c r="BZ14" s="36">
        <f t="shared" si="34"/>
        <v>44349</v>
      </c>
      <c r="CA14" s="36">
        <f t="shared" ref="CA14:EL14" si="35">BZ14+1</f>
        <v>44350</v>
      </c>
      <c r="CB14" s="36">
        <f t="shared" si="35"/>
        <v>44351</v>
      </c>
      <c r="CC14" s="36">
        <f t="shared" si="35"/>
        <v>44352</v>
      </c>
      <c r="CD14" s="36">
        <f t="shared" si="35"/>
        <v>44353</v>
      </c>
      <c r="CE14" s="36">
        <f t="shared" si="35"/>
        <v>44354</v>
      </c>
      <c r="CF14" s="36">
        <f t="shared" si="35"/>
        <v>44355</v>
      </c>
      <c r="CG14" s="36">
        <f t="shared" si="35"/>
        <v>44356</v>
      </c>
      <c r="CH14" s="36">
        <f t="shared" si="35"/>
        <v>44357</v>
      </c>
      <c r="CI14" s="36">
        <f t="shared" si="35"/>
        <v>44358</v>
      </c>
      <c r="CJ14" s="36">
        <f t="shared" si="35"/>
        <v>44359</v>
      </c>
      <c r="CK14" s="36">
        <f t="shared" si="35"/>
        <v>44360</v>
      </c>
      <c r="CL14" s="36">
        <f t="shared" si="35"/>
        <v>44361</v>
      </c>
      <c r="CM14" s="36">
        <f t="shared" si="35"/>
        <v>44362</v>
      </c>
      <c r="CN14" s="36">
        <f t="shared" si="35"/>
        <v>44363</v>
      </c>
      <c r="CO14" s="36">
        <f t="shared" si="35"/>
        <v>44364</v>
      </c>
      <c r="CP14" s="36">
        <f t="shared" si="35"/>
        <v>44365</v>
      </c>
      <c r="CQ14" s="36">
        <f t="shared" si="35"/>
        <v>44366</v>
      </c>
      <c r="CR14" s="36">
        <f t="shared" si="35"/>
        <v>44367</v>
      </c>
      <c r="CS14" s="36">
        <f t="shared" si="35"/>
        <v>44368</v>
      </c>
      <c r="CT14" s="36">
        <f t="shared" si="35"/>
        <v>44369</v>
      </c>
      <c r="CU14" s="36">
        <f t="shared" si="35"/>
        <v>44370</v>
      </c>
      <c r="CV14" s="36">
        <f t="shared" si="35"/>
        <v>44371</v>
      </c>
      <c r="CW14" s="36">
        <f t="shared" si="35"/>
        <v>44372</v>
      </c>
      <c r="CX14" s="36">
        <f t="shared" si="35"/>
        <v>44373</v>
      </c>
      <c r="CY14" s="36">
        <f t="shared" si="35"/>
        <v>44374</v>
      </c>
      <c r="CZ14" s="36">
        <f t="shared" si="35"/>
        <v>44375</v>
      </c>
      <c r="DA14" s="36">
        <f t="shared" si="35"/>
        <v>44376</v>
      </c>
      <c r="DB14" s="36">
        <f t="shared" si="35"/>
        <v>44377</v>
      </c>
      <c r="DC14" s="36">
        <f t="shared" si="35"/>
        <v>44378</v>
      </c>
      <c r="DD14" s="36">
        <f t="shared" si="35"/>
        <v>44379</v>
      </c>
      <c r="DE14" s="36">
        <f t="shared" si="35"/>
        <v>44380</v>
      </c>
      <c r="DF14" s="36">
        <f t="shared" si="35"/>
        <v>44381</v>
      </c>
      <c r="DG14" s="36">
        <f t="shared" si="35"/>
        <v>44382</v>
      </c>
      <c r="DH14" s="36">
        <f t="shared" si="35"/>
        <v>44383</v>
      </c>
      <c r="DI14" s="36">
        <f t="shared" si="35"/>
        <v>44384</v>
      </c>
      <c r="DJ14" s="36">
        <f t="shared" si="35"/>
        <v>44385</v>
      </c>
      <c r="DK14" s="36">
        <f t="shared" si="35"/>
        <v>44386</v>
      </c>
      <c r="DL14" s="36">
        <f t="shared" si="35"/>
        <v>44387</v>
      </c>
      <c r="DM14" s="36">
        <f t="shared" si="35"/>
        <v>44388</v>
      </c>
      <c r="DN14" s="36">
        <f t="shared" si="35"/>
        <v>44389</v>
      </c>
      <c r="DO14" s="36">
        <f t="shared" si="35"/>
        <v>44390</v>
      </c>
      <c r="DP14" s="36">
        <f t="shared" si="35"/>
        <v>44391</v>
      </c>
      <c r="DQ14" s="36">
        <f t="shared" si="35"/>
        <v>44392</v>
      </c>
      <c r="DR14" s="36">
        <f t="shared" si="35"/>
        <v>44393</v>
      </c>
      <c r="DS14" s="36">
        <f t="shared" si="35"/>
        <v>44394</v>
      </c>
      <c r="DT14" s="36">
        <f t="shared" si="35"/>
        <v>44395</v>
      </c>
      <c r="DU14" s="36">
        <f t="shared" si="35"/>
        <v>44396</v>
      </c>
      <c r="DV14" s="36">
        <f t="shared" si="35"/>
        <v>44397</v>
      </c>
      <c r="DW14" s="36">
        <f t="shared" si="35"/>
        <v>44398</v>
      </c>
      <c r="DX14" s="36">
        <f t="shared" si="35"/>
        <v>44399</v>
      </c>
      <c r="DY14" s="36">
        <f t="shared" si="35"/>
        <v>44400</v>
      </c>
      <c r="DZ14" s="36">
        <f t="shared" si="35"/>
        <v>44401</v>
      </c>
      <c r="EA14" s="36">
        <f t="shared" si="35"/>
        <v>44402</v>
      </c>
      <c r="EB14" s="36">
        <f t="shared" si="35"/>
        <v>44403</v>
      </c>
      <c r="EC14" s="36">
        <f t="shared" si="35"/>
        <v>44404</v>
      </c>
      <c r="ED14" s="36">
        <f t="shared" si="35"/>
        <v>44405</v>
      </c>
      <c r="EE14" s="36">
        <f t="shared" si="35"/>
        <v>44406</v>
      </c>
      <c r="EF14" s="36">
        <f t="shared" si="35"/>
        <v>44407</v>
      </c>
      <c r="EG14" s="36">
        <f t="shared" si="35"/>
        <v>44408</v>
      </c>
      <c r="EH14" s="36">
        <f t="shared" si="35"/>
        <v>44409</v>
      </c>
      <c r="EI14" s="36">
        <f t="shared" si="35"/>
        <v>44410</v>
      </c>
      <c r="EJ14" s="36">
        <f t="shared" si="35"/>
        <v>44411</v>
      </c>
      <c r="EK14" s="36">
        <f t="shared" si="35"/>
        <v>44412</v>
      </c>
      <c r="EL14" s="36">
        <f t="shared" si="35"/>
        <v>44413</v>
      </c>
      <c r="EM14" s="36">
        <f t="shared" ref="EM14:GS14" si="36">EL14+1</f>
        <v>44414</v>
      </c>
      <c r="EN14" s="36">
        <f t="shared" si="36"/>
        <v>44415</v>
      </c>
      <c r="EO14" s="36">
        <f t="shared" si="36"/>
        <v>44416</v>
      </c>
      <c r="EP14" s="36">
        <f t="shared" si="36"/>
        <v>44417</v>
      </c>
      <c r="EQ14" s="36">
        <f t="shared" si="36"/>
        <v>44418</v>
      </c>
      <c r="ER14" s="36">
        <f t="shared" si="36"/>
        <v>44419</v>
      </c>
      <c r="ES14" s="36">
        <f t="shared" si="36"/>
        <v>44420</v>
      </c>
      <c r="ET14" s="36">
        <f t="shared" si="36"/>
        <v>44421</v>
      </c>
      <c r="EU14" s="36">
        <f t="shared" si="36"/>
        <v>44422</v>
      </c>
      <c r="EV14" s="36">
        <f t="shared" si="36"/>
        <v>44423</v>
      </c>
      <c r="EW14" s="36">
        <f t="shared" si="36"/>
        <v>44424</v>
      </c>
      <c r="EX14" s="36">
        <f t="shared" si="36"/>
        <v>44425</v>
      </c>
      <c r="EY14" s="36">
        <f t="shared" si="36"/>
        <v>44426</v>
      </c>
      <c r="EZ14" s="36">
        <f t="shared" si="36"/>
        <v>44427</v>
      </c>
      <c r="FA14" s="36">
        <f t="shared" si="36"/>
        <v>44428</v>
      </c>
      <c r="FB14" s="36">
        <f t="shared" si="36"/>
        <v>44429</v>
      </c>
      <c r="FC14" s="36">
        <f t="shared" si="36"/>
        <v>44430</v>
      </c>
      <c r="FD14" s="36">
        <f t="shared" si="36"/>
        <v>44431</v>
      </c>
      <c r="FE14" s="36">
        <f t="shared" si="36"/>
        <v>44432</v>
      </c>
      <c r="FF14" s="36">
        <f t="shared" si="36"/>
        <v>44433</v>
      </c>
      <c r="FG14" s="36">
        <f t="shared" si="36"/>
        <v>44434</v>
      </c>
      <c r="FH14" s="36">
        <f t="shared" si="36"/>
        <v>44435</v>
      </c>
      <c r="FI14" s="36">
        <f t="shared" si="36"/>
        <v>44436</v>
      </c>
      <c r="FJ14" s="36">
        <f t="shared" si="36"/>
        <v>44437</v>
      </c>
      <c r="FK14" s="36">
        <f t="shared" si="36"/>
        <v>44438</v>
      </c>
      <c r="FL14" s="36">
        <f t="shared" si="36"/>
        <v>44439</v>
      </c>
      <c r="FM14" s="36">
        <f t="shared" si="36"/>
        <v>44440</v>
      </c>
      <c r="FN14" s="36">
        <f t="shared" si="36"/>
        <v>44441</v>
      </c>
      <c r="FO14" s="36">
        <f t="shared" si="36"/>
        <v>44442</v>
      </c>
      <c r="FP14" s="36">
        <f t="shared" si="36"/>
        <v>44443</v>
      </c>
      <c r="FQ14" s="36">
        <f t="shared" si="36"/>
        <v>44444</v>
      </c>
      <c r="FR14" s="36">
        <f t="shared" si="36"/>
        <v>44445</v>
      </c>
      <c r="FS14" s="36">
        <f t="shared" si="36"/>
        <v>44446</v>
      </c>
      <c r="FT14" s="36">
        <f t="shared" si="36"/>
        <v>44447</v>
      </c>
      <c r="FU14" s="36">
        <f t="shared" si="36"/>
        <v>44448</v>
      </c>
      <c r="FV14" s="36">
        <f t="shared" si="36"/>
        <v>44449</v>
      </c>
      <c r="FW14" s="36">
        <f t="shared" si="36"/>
        <v>44450</v>
      </c>
      <c r="FX14" s="36">
        <f t="shared" si="36"/>
        <v>44451</v>
      </c>
      <c r="FY14" s="36">
        <f t="shared" si="36"/>
        <v>44452</v>
      </c>
      <c r="FZ14" s="36">
        <f t="shared" si="36"/>
        <v>44453</v>
      </c>
      <c r="GA14" s="36">
        <f t="shared" si="36"/>
        <v>44454</v>
      </c>
      <c r="GB14" s="36">
        <f t="shared" si="36"/>
        <v>44455</v>
      </c>
      <c r="GC14" s="36">
        <f t="shared" si="36"/>
        <v>44456</v>
      </c>
      <c r="GD14" s="36">
        <f t="shared" si="36"/>
        <v>44457</v>
      </c>
      <c r="GE14" s="36">
        <f t="shared" si="36"/>
        <v>44458</v>
      </c>
      <c r="GF14" s="36">
        <f t="shared" si="36"/>
        <v>44459</v>
      </c>
      <c r="GG14" s="36">
        <f t="shared" si="36"/>
        <v>44460</v>
      </c>
      <c r="GH14" s="36">
        <f t="shared" si="36"/>
        <v>44461</v>
      </c>
      <c r="GI14" s="36">
        <f t="shared" si="36"/>
        <v>44462</v>
      </c>
      <c r="GJ14" s="36">
        <f t="shared" si="36"/>
        <v>44463</v>
      </c>
      <c r="GK14" s="36">
        <f t="shared" si="36"/>
        <v>44464</v>
      </c>
      <c r="GL14" s="36">
        <f t="shared" si="36"/>
        <v>44465</v>
      </c>
      <c r="GM14" s="36">
        <f t="shared" si="36"/>
        <v>44466</v>
      </c>
      <c r="GN14" s="36">
        <f t="shared" si="36"/>
        <v>44467</v>
      </c>
      <c r="GO14" s="36">
        <f t="shared" si="36"/>
        <v>44468</v>
      </c>
      <c r="GP14" s="36">
        <f t="shared" si="36"/>
        <v>44469</v>
      </c>
      <c r="GQ14" s="36">
        <f t="shared" si="36"/>
        <v>44470</v>
      </c>
      <c r="GR14" s="36">
        <f t="shared" si="36"/>
        <v>44471</v>
      </c>
      <c r="GS14" s="36">
        <f t="shared" si="36"/>
        <v>44472</v>
      </c>
      <c r="GT14" s="36">
        <f t="shared" ref="GT14" si="37">GS14+1</f>
        <v>44473</v>
      </c>
      <c r="GU14" s="36">
        <f t="shared" ref="GU14" si="38">GT14+1</f>
        <v>44474</v>
      </c>
      <c r="GV14" s="36">
        <f t="shared" ref="GV14" si="39">GU14+1</f>
        <v>44475</v>
      </c>
      <c r="GW14" s="36">
        <f t="shared" ref="GW14" si="40">GV14+1</f>
        <v>44476</v>
      </c>
      <c r="GX14" s="36">
        <f t="shared" ref="GX14" si="41">GW14+1</f>
        <v>44477</v>
      </c>
      <c r="GY14" s="36">
        <f t="shared" ref="GY14" si="42">GX14+1</f>
        <v>44478</v>
      </c>
      <c r="GZ14" s="36">
        <f t="shared" ref="GZ14" si="43">GY14+1</f>
        <v>44479</v>
      </c>
      <c r="HA14" s="36">
        <f t="shared" ref="HA14" si="44">GZ14+1</f>
        <v>44480</v>
      </c>
      <c r="HB14" s="36">
        <f t="shared" ref="HB14" si="45">HA14+1</f>
        <v>44481</v>
      </c>
      <c r="HC14" s="36">
        <f t="shared" ref="HC14" si="46">HB14+1</f>
        <v>44482</v>
      </c>
      <c r="HD14" s="36">
        <f t="shared" ref="HD14" si="47">HC14+1</f>
        <v>44483</v>
      </c>
      <c r="HE14" s="36">
        <f t="shared" ref="HE14" si="48">HD14+1</f>
        <v>44484</v>
      </c>
      <c r="HF14" s="36">
        <f t="shared" ref="HF14" si="49">HE14+1</f>
        <v>44485</v>
      </c>
      <c r="HG14" s="36">
        <f t="shared" ref="HG14" si="50">HF14+1</f>
        <v>44486</v>
      </c>
      <c r="HH14" s="36">
        <f t="shared" ref="HH14" si="51">HG14+1</f>
        <v>44487</v>
      </c>
      <c r="HI14" s="36">
        <f t="shared" ref="HI14" si="52">HH14+1</f>
        <v>44488</v>
      </c>
      <c r="HJ14" s="36">
        <f t="shared" ref="HJ14" si="53">HI14+1</f>
        <v>44489</v>
      </c>
      <c r="HK14" s="36">
        <f t="shared" ref="HK14" si="54">HJ14+1</f>
        <v>44490</v>
      </c>
      <c r="HL14" s="36">
        <f t="shared" ref="HL14" si="55">HK14+1</f>
        <v>44491</v>
      </c>
      <c r="HM14" s="36">
        <f t="shared" ref="HM14" si="56">HL14+1</f>
        <v>44492</v>
      </c>
      <c r="HN14" s="36">
        <f t="shared" ref="HN14" si="57">HM14+1</f>
        <v>44493</v>
      </c>
    </row>
    <row r="15" spans="2:222" ht="54.6" customHeight="1" thickBot="1">
      <c r="B15" s="27" t="s">
        <v>30</v>
      </c>
      <c r="C15" s="28" t="s">
        <v>31</v>
      </c>
      <c r="D15" s="29" t="s">
        <v>32</v>
      </c>
      <c r="E15" s="28" t="s">
        <v>33</v>
      </c>
      <c r="F15" s="28" t="str">
        <f>IF(H11="x","Ende nach [AT]","Endet nach [Tagen]")</f>
        <v>Endet nach [Tagen]</v>
      </c>
      <c r="G15" s="28" t="s">
        <v>34</v>
      </c>
      <c r="H15" s="28" t="s">
        <v>35</v>
      </c>
      <c r="I15" s="28" t="s">
        <v>36</v>
      </c>
      <c r="J15" s="28" t="s">
        <v>8</v>
      </c>
      <c r="K15" s="28" t="s">
        <v>37</v>
      </c>
      <c r="L15" s="30" t="s">
        <v>38</v>
      </c>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19"/>
      <c r="FH15" s="19"/>
      <c r="FI15" s="19"/>
      <c r="FJ15" s="19"/>
      <c r="FK15" s="19"/>
      <c r="FL15" s="19"/>
      <c r="FM15" s="19"/>
      <c r="FN15" s="19"/>
      <c r="FO15" s="19"/>
      <c r="FP15" s="19"/>
      <c r="FQ15" s="19"/>
      <c r="FR15" s="19"/>
      <c r="FS15" s="19"/>
      <c r="FT15" s="19"/>
      <c r="FU15" s="19"/>
      <c r="FV15" s="19"/>
      <c r="FW15" s="19"/>
      <c r="FX15" s="19"/>
      <c r="FY15" s="19"/>
      <c r="FZ15" s="19"/>
      <c r="GA15" s="19"/>
      <c r="GB15" s="19"/>
      <c r="GC15" s="19"/>
      <c r="GD15" s="19"/>
      <c r="GE15" s="19"/>
      <c r="GF15" s="19"/>
      <c r="GG15" s="19"/>
      <c r="GH15" s="19"/>
      <c r="GI15" s="19"/>
      <c r="GJ15" s="19"/>
      <c r="GK15" s="19"/>
      <c r="GL15" s="19"/>
      <c r="GM15" s="19"/>
      <c r="GN15" s="19"/>
      <c r="GO15" s="19"/>
      <c r="GP15" s="19"/>
      <c r="GQ15" s="19"/>
      <c r="GR15" s="19"/>
      <c r="GS15" s="19"/>
      <c r="GT15" s="19"/>
      <c r="GU15" s="19"/>
      <c r="GV15" s="19"/>
      <c r="GW15" s="19"/>
      <c r="GX15" s="19"/>
      <c r="GY15" s="19"/>
      <c r="GZ15" s="19"/>
      <c r="HA15" s="19"/>
      <c r="HB15" s="19"/>
      <c r="HC15" s="19"/>
      <c r="HD15" s="19"/>
      <c r="HE15" s="19"/>
      <c r="HF15" s="19"/>
      <c r="HG15" s="19"/>
      <c r="HH15" s="19"/>
      <c r="HI15" s="19"/>
      <c r="HJ15" s="19"/>
      <c r="HK15" s="19"/>
      <c r="HL15" s="19"/>
      <c r="HM15" s="19"/>
      <c r="HN15" s="111"/>
    </row>
    <row r="16" spans="2:222">
      <c r="B16" s="78">
        <v>1</v>
      </c>
      <c r="C16" s="79" t="s">
        <v>27</v>
      </c>
      <c r="D16" s="80" t="s">
        <v>71</v>
      </c>
      <c r="E16" s="81">
        <v>44284</v>
      </c>
      <c r="F16" s="79">
        <v>21</v>
      </c>
      <c r="G16" s="82">
        <f t="shared" ref="G16:G70" si="58">IF(F16&lt;&gt;"",IF(H$12="x",WORKDAY(IF(WEEKDAY(E16,1)=7,E16+2,IF(WEEKDAY(E16,1)=1,E16+1,E16)),F16-1),E16+F16-1),"")</f>
        <v>44304</v>
      </c>
      <c r="H16" s="83">
        <v>1</v>
      </c>
      <c r="I16" s="81"/>
      <c r="J16" s="84" t="s">
        <v>8</v>
      </c>
      <c r="K16" s="85"/>
      <c r="L16" s="76"/>
      <c r="M16" s="75"/>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112"/>
    </row>
    <row r="17" spans="2:222">
      <c r="B17" s="86">
        <f>ROW()-16+1</f>
        <v>2</v>
      </c>
      <c r="C17" s="71"/>
      <c r="D17" s="101" t="s">
        <v>67</v>
      </c>
      <c r="E17" s="73">
        <v>44284</v>
      </c>
      <c r="F17" s="71">
        <v>7</v>
      </c>
      <c r="G17" s="55">
        <f t="shared" si="58"/>
        <v>44290</v>
      </c>
      <c r="H17" s="74">
        <v>1</v>
      </c>
      <c r="I17" s="47"/>
      <c r="J17" s="47"/>
      <c r="K17" s="47" t="s">
        <v>65</v>
      </c>
      <c r="L17" s="77" t="s">
        <v>66</v>
      </c>
      <c r="M17" s="75"/>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112"/>
    </row>
    <row r="18" spans="2:222">
      <c r="B18" s="86">
        <f t="shared" ref="B18:B78" si="59">ROW()-16+1</f>
        <v>3</v>
      </c>
      <c r="C18" s="71"/>
      <c r="D18" s="101" t="s">
        <v>68</v>
      </c>
      <c r="E18" s="73">
        <v>44291</v>
      </c>
      <c r="F18" s="71">
        <v>3</v>
      </c>
      <c r="G18" s="55">
        <f t="shared" si="58"/>
        <v>44293</v>
      </c>
      <c r="H18" s="74">
        <v>1</v>
      </c>
      <c r="I18" s="47"/>
      <c r="J18" s="47"/>
      <c r="K18" s="47" t="s">
        <v>65</v>
      </c>
      <c r="L18" s="77" t="s">
        <v>66</v>
      </c>
      <c r="M18" s="75"/>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112"/>
    </row>
    <row r="19" spans="2:222">
      <c r="B19" s="86">
        <f t="shared" si="59"/>
        <v>4</v>
      </c>
      <c r="C19" s="71"/>
      <c r="D19" s="101" t="s">
        <v>69</v>
      </c>
      <c r="E19" s="73">
        <v>44294</v>
      </c>
      <c r="F19" s="71">
        <v>4</v>
      </c>
      <c r="G19" s="55">
        <f t="shared" si="58"/>
        <v>44297</v>
      </c>
      <c r="H19" s="74">
        <v>1</v>
      </c>
      <c r="I19" s="47"/>
      <c r="J19" s="47"/>
      <c r="K19" s="47" t="s">
        <v>76</v>
      </c>
      <c r="L19" s="77" t="s">
        <v>66</v>
      </c>
      <c r="M19" s="75"/>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112"/>
    </row>
    <row r="20" spans="2:222">
      <c r="B20" s="86">
        <f t="shared" si="59"/>
        <v>5</v>
      </c>
      <c r="C20" s="71"/>
      <c r="D20" s="101" t="s">
        <v>70</v>
      </c>
      <c r="E20" s="73">
        <v>44298</v>
      </c>
      <c r="F20" s="71">
        <v>7</v>
      </c>
      <c r="G20" s="55">
        <f t="shared" si="58"/>
        <v>44304</v>
      </c>
      <c r="H20" s="74">
        <v>1</v>
      </c>
      <c r="I20" s="47"/>
      <c r="J20" s="47"/>
      <c r="K20" s="47" t="s">
        <v>79</v>
      </c>
      <c r="L20" s="77" t="s">
        <v>66</v>
      </c>
      <c r="M20" s="75"/>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112"/>
    </row>
    <row r="21" spans="2:222">
      <c r="B21" s="86">
        <f t="shared" si="59"/>
        <v>6</v>
      </c>
      <c r="C21" s="71" t="s">
        <v>27</v>
      </c>
      <c r="D21" s="72" t="s">
        <v>72</v>
      </c>
      <c r="E21" s="73">
        <v>44305</v>
      </c>
      <c r="F21" s="71">
        <v>43</v>
      </c>
      <c r="G21" s="55">
        <f t="shared" si="58"/>
        <v>44347</v>
      </c>
      <c r="H21" s="74">
        <v>1</v>
      </c>
      <c r="I21" s="47"/>
      <c r="J21" s="47" t="s">
        <v>8</v>
      </c>
      <c r="K21" s="47"/>
      <c r="L21" s="77"/>
      <c r="M21" s="75"/>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112"/>
    </row>
    <row r="22" spans="2:222">
      <c r="B22" s="86">
        <f t="shared" si="59"/>
        <v>7</v>
      </c>
      <c r="C22" s="71"/>
      <c r="D22" s="101" t="s">
        <v>73</v>
      </c>
      <c r="E22" s="73">
        <v>44305</v>
      </c>
      <c r="F22" s="71">
        <v>8</v>
      </c>
      <c r="G22" s="55">
        <f t="shared" si="58"/>
        <v>44312</v>
      </c>
      <c r="H22" s="74">
        <v>1</v>
      </c>
      <c r="I22" s="47"/>
      <c r="J22" s="47"/>
      <c r="K22" s="47" t="s">
        <v>65</v>
      </c>
      <c r="L22" s="77" t="s">
        <v>66</v>
      </c>
      <c r="M22" s="75"/>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c r="DK22" s="8"/>
      <c r="DL22" s="8"/>
      <c r="DM22" s="8"/>
      <c r="DN22" s="8"/>
      <c r="DO22" s="8"/>
      <c r="DP22" s="8"/>
      <c r="DQ22" s="8"/>
      <c r="DR22" s="8"/>
      <c r="DS22" s="8"/>
      <c r="DT22" s="8"/>
      <c r="DU22" s="8"/>
      <c r="DV22" s="8"/>
      <c r="DW22" s="8"/>
      <c r="DX22" s="8"/>
      <c r="DY22" s="8"/>
      <c r="DZ22" s="8"/>
      <c r="EA22" s="8"/>
      <c r="EB22" s="8"/>
      <c r="EC22" s="8"/>
      <c r="ED22" s="8"/>
      <c r="EE22" s="8"/>
      <c r="EF22" s="8"/>
      <c r="EG22" s="8"/>
      <c r="EH22" s="8"/>
      <c r="EI22" s="8"/>
      <c r="EJ22" s="8"/>
      <c r="EK22" s="8"/>
      <c r="EL22" s="8"/>
      <c r="EM22" s="8"/>
      <c r="EN22" s="8"/>
      <c r="EO22" s="8"/>
      <c r="EP22" s="8"/>
      <c r="EQ22" s="8"/>
      <c r="ER22" s="8"/>
      <c r="ES22" s="8"/>
      <c r="ET22" s="8"/>
      <c r="EU22" s="8"/>
      <c r="EV22" s="8"/>
      <c r="EW22" s="8"/>
      <c r="EX22" s="8"/>
      <c r="EY22" s="8"/>
      <c r="EZ22" s="8"/>
      <c r="FA22" s="8"/>
      <c r="FB22" s="8"/>
      <c r="FC22" s="8"/>
      <c r="FD22" s="8"/>
      <c r="FE22" s="8"/>
      <c r="FF22" s="8"/>
      <c r="FG22" s="8"/>
      <c r="FH22" s="8"/>
      <c r="FI22" s="8"/>
      <c r="FJ22" s="8"/>
      <c r="FK22" s="8"/>
      <c r="FL22" s="8"/>
      <c r="FM22" s="8"/>
      <c r="FN22" s="8"/>
      <c r="FO22" s="8"/>
      <c r="FP22" s="8"/>
      <c r="FQ22" s="8"/>
      <c r="FR22" s="8"/>
      <c r="FS22" s="8"/>
      <c r="FT22" s="8"/>
      <c r="FU22" s="8"/>
      <c r="FV22" s="8"/>
      <c r="FW22" s="8"/>
      <c r="FX22" s="8"/>
      <c r="FY22" s="8"/>
      <c r="FZ22" s="8"/>
      <c r="GA22" s="8"/>
      <c r="GB22" s="8"/>
      <c r="GC22" s="8"/>
      <c r="GD22" s="8"/>
      <c r="GE22" s="8"/>
      <c r="GF22" s="8"/>
      <c r="GG22" s="8"/>
      <c r="GH22" s="8"/>
      <c r="GI22" s="8"/>
      <c r="GJ22" s="8"/>
      <c r="GK22" s="8"/>
      <c r="GL22" s="8"/>
      <c r="GM22" s="8"/>
      <c r="GN22" s="8"/>
      <c r="GO22" s="8"/>
      <c r="GP22" s="8"/>
      <c r="GQ22" s="8"/>
      <c r="GR22" s="8"/>
      <c r="GS22" s="8"/>
      <c r="GT22" s="8"/>
      <c r="GU22" s="8"/>
      <c r="GV22" s="8"/>
      <c r="GW22" s="8"/>
      <c r="GX22" s="8"/>
      <c r="GY22" s="8"/>
      <c r="GZ22" s="8"/>
      <c r="HA22" s="8"/>
      <c r="HB22" s="8"/>
      <c r="HC22" s="8"/>
      <c r="HD22" s="8"/>
      <c r="HE22" s="8"/>
      <c r="HF22" s="8"/>
      <c r="HG22" s="8"/>
      <c r="HH22" s="8"/>
      <c r="HI22" s="8"/>
      <c r="HJ22" s="8"/>
      <c r="HK22" s="8"/>
      <c r="HL22" s="8"/>
      <c r="HM22" s="8"/>
      <c r="HN22" s="112"/>
    </row>
    <row r="23" spans="2:222">
      <c r="B23" s="86">
        <f t="shared" si="59"/>
        <v>8</v>
      </c>
      <c r="C23" s="71"/>
      <c r="D23" s="101" t="s">
        <v>0</v>
      </c>
      <c r="E23" s="73">
        <v>44309</v>
      </c>
      <c r="F23" s="71">
        <v>12</v>
      </c>
      <c r="G23" s="55">
        <f t="shared" si="58"/>
        <v>44320</v>
      </c>
      <c r="H23" s="74">
        <v>1</v>
      </c>
      <c r="I23" s="47"/>
      <c r="J23" s="47"/>
      <c r="K23" s="47" t="s">
        <v>76</v>
      </c>
      <c r="L23" s="77" t="s">
        <v>66</v>
      </c>
      <c r="M23" s="75"/>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112"/>
    </row>
    <row r="24" spans="2:222">
      <c r="B24" s="86">
        <f t="shared" si="59"/>
        <v>9</v>
      </c>
      <c r="C24" s="71"/>
      <c r="D24" s="101" t="s">
        <v>74</v>
      </c>
      <c r="E24" s="73">
        <v>44313</v>
      </c>
      <c r="F24" s="71">
        <v>18</v>
      </c>
      <c r="G24" s="55">
        <f t="shared" ref="G24" si="60">IF(F24&lt;&gt;"",IF(H$12="x",WORKDAY(IF(WEEKDAY(E24,1)=7,E24+2,IF(WEEKDAY(E24,1)=1,E24+1,E24)),F24-1),E24+F24-1),"")</f>
        <v>44330</v>
      </c>
      <c r="H24" s="74">
        <v>1</v>
      </c>
      <c r="I24" s="47"/>
      <c r="J24" s="47"/>
      <c r="K24" s="47" t="s">
        <v>65</v>
      </c>
      <c r="L24" s="77" t="s">
        <v>66</v>
      </c>
      <c r="M24" s="75"/>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112"/>
    </row>
    <row r="25" spans="2:222">
      <c r="B25" s="86">
        <f t="shared" si="59"/>
        <v>10</v>
      </c>
      <c r="C25" s="71"/>
      <c r="D25" s="101" t="s">
        <v>78</v>
      </c>
      <c r="E25" s="73">
        <v>44317</v>
      </c>
      <c r="F25" s="71">
        <v>5</v>
      </c>
      <c r="G25" s="55">
        <f>IF(F25&lt;&gt;"",IF(H$12="x",WORKDAY(IF(WEEKDAY(E25,1)=7,E25+2,IF(WEEKDAY(E25,1)=1,E25+1,E25)),F25-1),E25+F25-1),"")</f>
        <v>44321</v>
      </c>
      <c r="H25" s="74">
        <v>1</v>
      </c>
      <c r="I25" s="47"/>
      <c r="J25" s="47"/>
      <c r="K25" s="47" t="s">
        <v>112</v>
      </c>
      <c r="L25" s="77" t="s">
        <v>77</v>
      </c>
      <c r="M25" s="75"/>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112"/>
    </row>
    <row r="26" spans="2:222">
      <c r="B26" s="86">
        <f t="shared" si="59"/>
        <v>11</v>
      </c>
      <c r="C26" s="71" t="s">
        <v>27</v>
      </c>
      <c r="D26" s="72" t="s">
        <v>81</v>
      </c>
      <c r="E26" s="73">
        <v>44330</v>
      </c>
      <c r="F26" s="71">
        <v>27</v>
      </c>
      <c r="G26" s="55">
        <f t="shared" ref="G26" si="61">IF(F26&lt;&gt;"",IF(H$12="x",WORKDAY(IF(WEEKDAY(E26,1)=7,E26+2,IF(WEEKDAY(E26,1)=1,E26+1,E26)),F26-1),E26+F26-1),"")</f>
        <v>44356</v>
      </c>
      <c r="H26" s="74">
        <v>1</v>
      </c>
      <c r="I26" s="47"/>
      <c r="J26" s="47" t="s">
        <v>8</v>
      </c>
      <c r="K26" s="47"/>
      <c r="L26" s="77"/>
      <c r="M26" s="75"/>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112"/>
    </row>
    <row r="27" spans="2:222">
      <c r="B27" s="86">
        <f t="shared" si="59"/>
        <v>12</v>
      </c>
      <c r="C27" s="71"/>
      <c r="D27" s="101" t="s">
        <v>82</v>
      </c>
      <c r="E27" s="73">
        <v>44330</v>
      </c>
      <c r="F27" s="71">
        <v>21</v>
      </c>
      <c r="G27" s="55">
        <f t="shared" ref="G27" si="62">IF(F27&lt;&gt;"",IF(H$12="x",WORKDAY(IF(WEEKDAY(E27,1)=7,E27+2,IF(WEEKDAY(E27,1)=1,E27+1,E27)),F27-1),E27+F27-1),"")</f>
        <v>44350</v>
      </c>
      <c r="H27" s="74">
        <v>1</v>
      </c>
      <c r="I27" s="47"/>
      <c r="J27" s="47"/>
      <c r="K27" s="47" t="s">
        <v>80</v>
      </c>
      <c r="L27" s="77" t="s">
        <v>79</v>
      </c>
      <c r="M27" s="75"/>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112"/>
    </row>
    <row r="28" spans="2:222">
      <c r="B28" s="86">
        <f t="shared" si="59"/>
        <v>13</v>
      </c>
      <c r="C28" s="71"/>
      <c r="D28" s="101" t="s">
        <v>83</v>
      </c>
      <c r="E28" s="73">
        <v>44332</v>
      </c>
      <c r="F28" s="71">
        <v>5</v>
      </c>
      <c r="G28" s="55">
        <f t="shared" ref="G28:G31" si="63">IF(F28&lt;&gt;"",IF(H$12="x",WORKDAY(IF(WEEKDAY(E28,1)=7,E28+2,IF(WEEKDAY(E28,1)=1,E28+1,E28)),F28-1),E28+F28-1),"")</f>
        <v>44336</v>
      </c>
      <c r="H28" s="74">
        <v>1</v>
      </c>
      <c r="I28" s="47"/>
      <c r="J28" s="47"/>
      <c r="K28" s="47" t="s">
        <v>79</v>
      </c>
      <c r="L28" s="77" t="s">
        <v>80</v>
      </c>
      <c r="M28" s="75"/>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112"/>
    </row>
    <row r="29" spans="2:222">
      <c r="B29" s="86">
        <f t="shared" si="59"/>
        <v>14</v>
      </c>
      <c r="C29" s="71"/>
      <c r="D29" s="101" t="s">
        <v>115</v>
      </c>
      <c r="E29" s="73">
        <v>44337</v>
      </c>
      <c r="F29" s="71">
        <v>21</v>
      </c>
      <c r="G29" s="55">
        <f t="shared" si="63"/>
        <v>44357</v>
      </c>
      <c r="H29" s="74">
        <v>1</v>
      </c>
      <c r="I29" s="47"/>
      <c r="J29" s="47"/>
      <c r="K29" s="47" t="s">
        <v>80</v>
      </c>
      <c r="L29" s="77" t="s">
        <v>66</v>
      </c>
      <c r="M29" s="75"/>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112"/>
    </row>
    <row r="30" spans="2:222">
      <c r="B30" s="86">
        <f t="shared" si="59"/>
        <v>15</v>
      </c>
      <c r="C30" s="71"/>
      <c r="D30" s="101" t="s">
        <v>104</v>
      </c>
      <c r="E30" s="73">
        <v>44344</v>
      </c>
      <c r="F30" s="71">
        <v>5</v>
      </c>
      <c r="G30" s="55">
        <f t="shared" si="63"/>
        <v>44348</v>
      </c>
      <c r="H30" s="74">
        <v>1</v>
      </c>
      <c r="I30" s="47"/>
      <c r="J30" s="47"/>
      <c r="K30" s="47" t="s">
        <v>79</v>
      </c>
      <c r="L30" s="77" t="s">
        <v>66</v>
      </c>
      <c r="M30" s="75"/>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112"/>
    </row>
    <row r="31" spans="2:222" ht="27.6">
      <c r="B31" s="86">
        <f t="shared" si="59"/>
        <v>16</v>
      </c>
      <c r="C31" s="71" t="s">
        <v>27</v>
      </c>
      <c r="D31" s="103" t="s">
        <v>84</v>
      </c>
      <c r="E31" s="73">
        <v>44400</v>
      </c>
      <c r="F31" s="71">
        <v>62</v>
      </c>
      <c r="G31" s="55">
        <f t="shared" si="63"/>
        <v>44461</v>
      </c>
      <c r="H31" s="74">
        <v>1</v>
      </c>
      <c r="I31" s="47"/>
      <c r="J31" s="47" t="s">
        <v>8</v>
      </c>
      <c r="K31" s="47"/>
      <c r="L31" s="77"/>
      <c r="M31" s="75"/>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112"/>
    </row>
    <row r="32" spans="2:222">
      <c r="B32" s="86">
        <f t="shared" si="59"/>
        <v>17</v>
      </c>
      <c r="C32" s="71"/>
      <c r="D32" s="101" t="s">
        <v>116</v>
      </c>
      <c r="E32" s="73">
        <v>44400</v>
      </c>
      <c r="F32" s="71">
        <v>14</v>
      </c>
      <c r="G32" s="55">
        <f t="shared" ref="G32" si="64">IF(F32&lt;&gt;"",IF(H$12="x",WORKDAY(IF(WEEKDAY(E32,1)=7,E32+2,IF(WEEKDAY(E32,1)=1,E32+1,E32)),F32-1),E32+F32-1),"")</f>
        <v>44413</v>
      </c>
      <c r="H32" s="74">
        <v>1</v>
      </c>
      <c r="I32" s="47"/>
      <c r="J32" s="47"/>
      <c r="K32" s="47" t="s">
        <v>79</v>
      </c>
      <c r="L32" s="77" t="s">
        <v>66</v>
      </c>
      <c r="M32" s="75"/>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112"/>
    </row>
    <row r="33" spans="2:222">
      <c r="B33" s="86">
        <f t="shared" si="59"/>
        <v>18</v>
      </c>
      <c r="C33" s="71"/>
      <c r="D33" s="101" t="s">
        <v>117</v>
      </c>
      <c r="E33" s="73">
        <v>44416</v>
      </c>
      <c r="F33" s="71">
        <v>6</v>
      </c>
      <c r="G33" s="55">
        <f t="shared" ref="G33:G35" si="65">IF(F33&lt;&gt;"",IF(H$12="x",WORKDAY(IF(WEEKDAY(E33,1)=7,E33+2,IF(WEEKDAY(E33,1)=1,E33+1,E33)),F33-1),E33+F33-1),"")</f>
        <v>44421</v>
      </c>
      <c r="H33" s="74">
        <v>1</v>
      </c>
      <c r="I33" s="47"/>
      <c r="J33" s="47"/>
      <c r="K33" s="47" t="s">
        <v>79</v>
      </c>
      <c r="L33" s="77" t="s">
        <v>66</v>
      </c>
      <c r="M33" s="75"/>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112"/>
    </row>
    <row r="34" spans="2:222">
      <c r="B34" s="86">
        <f t="shared" si="59"/>
        <v>19</v>
      </c>
      <c r="C34" s="71"/>
      <c r="D34" s="101" t="s">
        <v>118</v>
      </c>
      <c r="E34" s="73">
        <v>44406</v>
      </c>
      <c r="F34" s="71">
        <v>21</v>
      </c>
      <c r="G34" s="55">
        <f t="shared" ref="G34" si="66">IF(F34&lt;&gt;"",IF(H$12="x",WORKDAY(IF(WEEKDAY(E34,1)=7,E34+2,IF(WEEKDAY(E34,1)=1,E34+1,E34)),F34-1),E34+F34-1),"")</f>
        <v>44426</v>
      </c>
      <c r="H34" s="74">
        <v>1</v>
      </c>
      <c r="I34" s="47"/>
      <c r="J34" s="47"/>
      <c r="K34" s="47"/>
      <c r="L34" s="77"/>
      <c r="M34" s="75"/>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112"/>
    </row>
    <row r="35" spans="2:222">
      <c r="B35" s="86">
        <f t="shared" si="59"/>
        <v>20</v>
      </c>
      <c r="C35" s="71"/>
      <c r="D35" s="101" t="s">
        <v>87</v>
      </c>
      <c r="E35" s="73">
        <v>44422</v>
      </c>
      <c r="F35" s="71">
        <v>3</v>
      </c>
      <c r="G35" s="55">
        <f t="shared" si="65"/>
        <v>44424</v>
      </c>
      <c r="H35" s="74">
        <v>1</v>
      </c>
      <c r="I35" s="47"/>
      <c r="J35" s="47"/>
      <c r="K35" s="47" t="s">
        <v>79</v>
      </c>
      <c r="L35" s="77" t="s">
        <v>66</v>
      </c>
      <c r="M35" s="75"/>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112"/>
    </row>
    <row r="36" spans="2:222" ht="41.4">
      <c r="B36" s="86">
        <f t="shared" si="59"/>
        <v>21</v>
      </c>
      <c r="C36" s="71"/>
      <c r="D36" s="102" t="s">
        <v>119</v>
      </c>
      <c r="E36" s="73">
        <v>44428</v>
      </c>
      <c r="F36" s="71">
        <v>10</v>
      </c>
      <c r="G36" s="55">
        <f t="shared" ref="G36:G40" si="67">IF(F36&lt;&gt;"",IF(H$12="x",WORKDAY(IF(WEEKDAY(E36,1)=7,E36+2,IF(WEEKDAY(E36,1)=1,E36+1,E36)),F36-1),E36+F36-1),"")</f>
        <v>44437</v>
      </c>
      <c r="H36" s="74">
        <v>1</v>
      </c>
      <c r="I36" s="47"/>
      <c r="J36" s="47"/>
      <c r="K36" s="47" t="s">
        <v>79</v>
      </c>
      <c r="L36" s="77" t="s">
        <v>66</v>
      </c>
      <c r="M36" s="75"/>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112"/>
    </row>
    <row r="37" spans="2:222">
      <c r="B37" s="86">
        <f t="shared" si="59"/>
        <v>22</v>
      </c>
      <c r="C37" s="71"/>
      <c r="D37" s="102" t="s">
        <v>120</v>
      </c>
      <c r="E37" s="73">
        <v>44428</v>
      </c>
      <c r="F37" s="71">
        <v>6</v>
      </c>
      <c r="G37" s="55">
        <f t="shared" si="67"/>
        <v>44433</v>
      </c>
      <c r="H37" s="74">
        <v>1</v>
      </c>
      <c r="I37" s="47"/>
      <c r="J37" s="47"/>
      <c r="K37" s="47" t="s">
        <v>79</v>
      </c>
      <c r="L37" s="77" t="s">
        <v>66</v>
      </c>
      <c r="M37" s="75"/>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112"/>
    </row>
    <row r="38" spans="2:222">
      <c r="B38" s="86">
        <f t="shared" si="59"/>
        <v>23</v>
      </c>
      <c r="C38" s="71"/>
      <c r="D38" s="101" t="s">
        <v>88</v>
      </c>
      <c r="E38" s="73">
        <v>44440</v>
      </c>
      <c r="F38" s="71">
        <v>5</v>
      </c>
      <c r="G38" s="55">
        <f t="shared" si="67"/>
        <v>44444</v>
      </c>
      <c r="H38" s="74">
        <v>1</v>
      </c>
      <c r="I38" s="47"/>
      <c r="J38" s="47"/>
      <c r="K38" s="47" t="s">
        <v>79</v>
      </c>
      <c r="L38" s="77" t="s">
        <v>66</v>
      </c>
      <c r="M38" s="75"/>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112"/>
    </row>
    <row r="39" spans="2:222" ht="27.6">
      <c r="B39" s="86">
        <f t="shared" si="59"/>
        <v>24</v>
      </c>
      <c r="C39" s="71"/>
      <c r="D39" s="102" t="s">
        <v>121</v>
      </c>
      <c r="E39" s="73">
        <v>44449</v>
      </c>
      <c r="F39" s="71">
        <v>14</v>
      </c>
      <c r="G39" s="55">
        <f t="shared" si="67"/>
        <v>44462</v>
      </c>
      <c r="H39" s="74">
        <v>1</v>
      </c>
      <c r="I39" s="47"/>
      <c r="J39" s="47"/>
      <c r="K39" s="47" t="s">
        <v>79</v>
      </c>
      <c r="L39" s="77" t="s">
        <v>66</v>
      </c>
      <c r="M39" s="75"/>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112"/>
    </row>
    <row r="40" spans="2:222" ht="27.6">
      <c r="B40" s="86">
        <f t="shared" si="59"/>
        <v>25</v>
      </c>
      <c r="C40" s="71" t="s">
        <v>27</v>
      </c>
      <c r="D40" s="103" t="s">
        <v>89</v>
      </c>
      <c r="E40" s="73">
        <v>44400</v>
      </c>
      <c r="F40" s="71">
        <v>58</v>
      </c>
      <c r="G40" s="55">
        <f t="shared" si="67"/>
        <v>44457</v>
      </c>
      <c r="H40" s="74">
        <v>1</v>
      </c>
      <c r="I40" s="47"/>
      <c r="J40" s="47" t="s">
        <v>8</v>
      </c>
      <c r="K40" s="47"/>
      <c r="L40" s="77"/>
      <c r="M40" s="75"/>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112"/>
    </row>
    <row r="41" spans="2:222">
      <c r="B41" s="86">
        <f t="shared" si="59"/>
        <v>26</v>
      </c>
      <c r="C41" s="71"/>
      <c r="D41" s="101" t="s">
        <v>116</v>
      </c>
      <c r="E41" s="73">
        <v>44402</v>
      </c>
      <c r="F41" s="71">
        <v>9</v>
      </c>
      <c r="G41" s="55">
        <f t="shared" ref="G41:G42" si="68">IF(F41&lt;&gt;"",IF(H$12="x",WORKDAY(IF(WEEKDAY(E41,1)=7,E41+2,IF(WEEKDAY(E41,1)=1,E41+1,E41)),F41-1),E41+F41-1),"")</f>
        <v>44410</v>
      </c>
      <c r="H41" s="74">
        <v>1</v>
      </c>
      <c r="I41" s="47"/>
      <c r="J41" s="47"/>
      <c r="K41" s="47" t="s">
        <v>79</v>
      </c>
      <c r="L41" s="77" t="s">
        <v>66</v>
      </c>
      <c r="M41" s="75"/>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112"/>
    </row>
    <row r="42" spans="2:222">
      <c r="B42" s="86">
        <f t="shared" si="59"/>
        <v>27</v>
      </c>
      <c r="C42" s="71"/>
      <c r="D42" s="101" t="s">
        <v>117</v>
      </c>
      <c r="E42" s="73">
        <v>44413</v>
      </c>
      <c r="F42" s="71">
        <v>6</v>
      </c>
      <c r="G42" s="55">
        <f t="shared" si="68"/>
        <v>44418</v>
      </c>
      <c r="H42" s="74">
        <v>1</v>
      </c>
      <c r="I42" s="47"/>
      <c r="J42" s="47"/>
      <c r="K42" s="47" t="s">
        <v>79</v>
      </c>
      <c r="L42" s="77" t="s">
        <v>66</v>
      </c>
      <c r="M42" s="75"/>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112"/>
    </row>
    <row r="43" spans="2:222">
      <c r="B43" s="86">
        <f t="shared" si="59"/>
        <v>28</v>
      </c>
      <c r="C43" s="71"/>
      <c r="D43" s="101" t="s">
        <v>118</v>
      </c>
      <c r="E43" s="73">
        <v>44420</v>
      </c>
      <c r="F43" s="71">
        <v>1</v>
      </c>
      <c r="G43" s="55">
        <f t="shared" ref="G43:G44" si="69">IF(F43&lt;&gt;"",IF(H$12="x",WORKDAY(IF(WEEKDAY(E43,1)=7,E43+2,IF(WEEKDAY(E43,1)=1,E43+1,E43)),F43-1),E43+F43-1),"")</f>
        <v>44420</v>
      </c>
      <c r="H43" s="74">
        <v>1</v>
      </c>
      <c r="I43" s="47"/>
      <c r="J43" s="47"/>
      <c r="K43" s="47" t="s">
        <v>79</v>
      </c>
      <c r="L43" s="77" t="s">
        <v>66</v>
      </c>
      <c r="M43" s="75"/>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112"/>
    </row>
    <row r="44" spans="2:222">
      <c r="B44" s="86">
        <f t="shared" si="59"/>
        <v>29</v>
      </c>
      <c r="C44" s="71"/>
      <c r="D44" s="101" t="s">
        <v>87</v>
      </c>
      <c r="E44" s="73">
        <v>44405</v>
      </c>
      <c r="F44" s="71">
        <v>18</v>
      </c>
      <c r="G44" s="55">
        <f t="shared" si="69"/>
        <v>44422</v>
      </c>
      <c r="H44" s="74">
        <v>1</v>
      </c>
      <c r="I44" s="47"/>
      <c r="J44" s="47"/>
      <c r="K44" s="47" t="s">
        <v>79</v>
      </c>
      <c r="L44" s="77" t="s">
        <v>66</v>
      </c>
      <c r="M44" s="75"/>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112"/>
    </row>
    <row r="45" spans="2:222" ht="41.4">
      <c r="B45" s="86">
        <f t="shared" si="59"/>
        <v>30</v>
      </c>
      <c r="C45" s="71"/>
      <c r="D45" s="102" t="s">
        <v>119</v>
      </c>
      <c r="E45" s="73">
        <v>44427</v>
      </c>
      <c r="F45" s="71">
        <v>4</v>
      </c>
      <c r="G45" s="55">
        <f t="shared" ref="G45:G46" si="70">IF(F45&lt;&gt;"",IF(H$12="x",WORKDAY(IF(WEEKDAY(E45,1)=7,E45+2,IF(WEEKDAY(E45,1)=1,E45+1,E45)),F45-1),E45+F45-1),"")</f>
        <v>44430</v>
      </c>
      <c r="H45" s="74">
        <v>1</v>
      </c>
      <c r="I45" s="47"/>
      <c r="J45" s="47"/>
      <c r="K45" s="47" t="s">
        <v>79</v>
      </c>
      <c r="L45" s="77" t="s">
        <v>66</v>
      </c>
      <c r="M45" s="75"/>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112"/>
    </row>
    <row r="46" spans="2:222">
      <c r="B46" s="86">
        <f t="shared" si="59"/>
        <v>31</v>
      </c>
      <c r="C46" s="71"/>
      <c r="D46" s="102" t="s">
        <v>120</v>
      </c>
      <c r="E46" s="73">
        <v>44418</v>
      </c>
      <c r="F46" s="71">
        <v>11</v>
      </c>
      <c r="G46" s="55">
        <f t="shared" si="70"/>
        <v>44428</v>
      </c>
      <c r="H46" s="74">
        <v>1</v>
      </c>
      <c r="I46" s="47"/>
      <c r="J46" s="47"/>
      <c r="K46" s="47" t="s">
        <v>76</v>
      </c>
      <c r="L46" s="77" t="s">
        <v>79</v>
      </c>
      <c r="M46" s="75"/>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112"/>
    </row>
    <row r="47" spans="2:222">
      <c r="B47" s="86">
        <f t="shared" si="59"/>
        <v>32</v>
      </c>
      <c r="C47" s="71"/>
      <c r="D47" s="101" t="s">
        <v>88</v>
      </c>
      <c r="E47" s="73">
        <v>44429</v>
      </c>
      <c r="F47" s="71">
        <v>7</v>
      </c>
      <c r="G47" s="55">
        <f t="shared" ref="G47" si="71">IF(F47&lt;&gt;"",IF(H$12="x",WORKDAY(IF(WEEKDAY(E47,1)=7,E47+2,IF(WEEKDAY(E47,1)=1,E47+1,E47)),F47-1),E47+F47-1),"")</f>
        <v>44435</v>
      </c>
      <c r="H47" s="74">
        <v>1</v>
      </c>
      <c r="I47" s="47"/>
      <c r="J47" s="47"/>
      <c r="K47" s="47" t="s">
        <v>76</v>
      </c>
      <c r="L47" s="77" t="s">
        <v>66</v>
      </c>
      <c r="M47" s="75"/>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112"/>
    </row>
    <row r="48" spans="2:222" ht="27.6">
      <c r="B48" s="86">
        <f t="shared" si="59"/>
        <v>33</v>
      </c>
      <c r="C48" s="71"/>
      <c r="D48" s="102" t="s">
        <v>121</v>
      </c>
      <c r="E48" s="73">
        <v>44437</v>
      </c>
      <c r="F48" s="71">
        <v>21</v>
      </c>
      <c r="G48" s="55">
        <f t="shared" ref="G48:G49" si="72">IF(F48&lt;&gt;"",IF(H$12="x",WORKDAY(IF(WEEKDAY(E48,1)=7,E48+2,IF(WEEKDAY(E48,1)=1,E48+1,E48)),F48-1),E48+F48-1),"")</f>
        <v>44457</v>
      </c>
      <c r="H48" s="74">
        <v>1</v>
      </c>
      <c r="I48" s="47"/>
      <c r="J48" s="47"/>
      <c r="K48" s="47" t="s">
        <v>79</v>
      </c>
      <c r="L48" s="77" t="s">
        <v>66</v>
      </c>
      <c r="M48" s="75"/>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112"/>
    </row>
    <row r="49" spans="2:222" ht="27.6">
      <c r="B49" s="86">
        <f t="shared" si="59"/>
        <v>34</v>
      </c>
      <c r="C49" s="71" t="s">
        <v>27</v>
      </c>
      <c r="D49" s="103" t="s">
        <v>123</v>
      </c>
      <c r="E49" s="73">
        <v>44406</v>
      </c>
      <c r="F49" s="71">
        <v>60</v>
      </c>
      <c r="G49" s="55">
        <f t="shared" si="72"/>
        <v>44465</v>
      </c>
      <c r="H49" s="74"/>
      <c r="I49" s="47"/>
      <c r="J49" s="47" t="s">
        <v>8</v>
      </c>
      <c r="K49" s="47"/>
      <c r="L49" s="77"/>
      <c r="M49" s="75"/>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112"/>
    </row>
    <row r="50" spans="2:222">
      <c r="B50" s="86">
        <f t="shared" si="59"/>
        <v>35</v>
      </c>
      <c r="C50" s="71"/>
      <c r="D50" s="101" t="s">
        <v>122</v>
      </c>
      <c r="E50" s="73">
        <v>44406</v>
      </c>
      <c r="F50" s="71">
        <v>11</v>
      </c>
      <c r="G50" s="55">
        <f t="shared" ref="G50" si="73">IF(F50&lt;&gt;"",IF(H$12="x",WORKDAY(IF(WEEKDAY(E50,1)=7,E50+2,IF(WEEKDAY(E50,1)=1,E50+1,E50)),F50-1),E50+F50-1),"")</f>
        <v>44416</v>
      </c>
      <c r="H50" s="74">
        <v>1</v>
      </c>
      <c r="I50" s="47"/>
      <c r="J50" s="47"/>
      <c r="K50" s="47" t="s">
        <v>77</v>
      </c>
      <c r="L50" s="77" t="s">
        <v>66</v>
      </c>
      <c r="M50" s="75"/>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112"/>
    </row>
    <row r="51" spans="2:222" ht="27.6">
      <c r="B51" s="86">
        <f t="shared" si="59"/>
        <v>36</v>
      </c>
      <c r="C51" s="71"/>
      <c r="D51" s="102" t="s">
        <v>90</v>
      </c>
      <c r="E51" s="73">
        <v>44424</v>
      </c>
      <c r="F51" s="71">
        <v>28</v>
      </c>
      <c r="G51" s="55">
        <f t="shared" ref="G51:G54" si="74">IF(F51&lt;&gt;"",IF(H$12="x",WORKDAY(IF(WEEKDAY(E51,1)=7,E51+2,IF(WEEKDAY(E51,1)=1,E51+1,E51)),F51-1),E51+F51-1),"")</f>
        <v>44451</v>
      </c>
      <c r="H51" s="74">
        <v>1</v>
      </c>
      <c r="I51" s="47"/>
      <c r="J51" s="47"/>
      <c r="K51" s="104" t="s">
        <v>105</v>
      </c>
      <c r="L51" s="77" t="s">
        <v>66</v>
      </c>
      <c r="M51" s="75"/>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112"/>
    </row>
    <row r="52" spans="2:222" ht="27.6">
      <c r="B52" s="86">
        <f t="shared" si="59"/>
        <v>37</v>
      </c>
      <c r="C52" s="71"/>
      <c r="D52" s="102" t="s">
        <v>121</v>
      </c>
      <c r="E52" s="73">
        <v>44455</v>
      </c>
      <c r="F52" s="71">
        <v>11</v>
      </c>
      <c r="G52" s="55">
        <f t="shared" si="74"/>
        <v>44465</v>
      </c>
      <c r="H52" s="74">
        <v>1</v>
      </c>
      <c r="I52" s="47"/>
      <c r="J52" s="47"/>
      <c r="K52" s="104" t="s">
        <v>105</v>
      </c>
      <c r="L52" s="77" t="s">
        <v>66</v>
      </c>
      <c r="M52" s="75"/>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112"/>
    </row>
    <row r="53" spans="2:222" ht="27.6">
      <c r="B53" s="86">
        <f t="shared" si="59"/>
        <v>38</v>
      </c>
      <c r="C53" s="71" t="s">
        <v>27</v>
      </c>
      <c r="D53" s="103" t="s">
        <v>91</v>
      </c>
      <c r="E53" s="73">
        <v>44443</v>
      </c>
      <c r="F53" s="71">
        <v>16</v>
      </c>
      <c r="G53" s="55">
        <f t="shared" si="74"/>
        <v>44458</v>
      </c>
      <c r="H53" s="74"/>
      <c r="I53" s="47"/>
      <c r="J53" s="47" t="s">
        <v>8</v>
      </c>
      <c r="K53" s="47"/>
      <c r="L53" s="77"/>
      <c r="M53" s="75"/>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112"/>
    </row>
    <row r="54" spans="2:222">
      <c r="B54" s="86">
        <f t="shared" si="59"/>
        <v>39</v>
      </c>
      <c r="C54" s="71"/>
      <c r="D54" s="101" t="s">
        <v>124</v>
      </c>
      <c r="E54" s="73">
        <v>44443</v>
      </c>
      <c r="F54" s="71">
        <v>8</v>
      </c>
      <c r="G54" s="55">
        <f t="shared" si="74"/>
        <v>44450</v>
      </c>
      <c r="H54" s="74">
        <v>1</v>
      </c>
      <c r="I54" s="47"/>
      <c r="J54" s="47"/>
      <c r="K54" s="47" t="s">
        <v>79</v>
      </c>
      <c r="L54" s="77" t="s">
        <v>66</v>
      </c>
      <c r="M54" s="75"/>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112"/>
    </row>
    <row r="55" spans="2:222">
      <c r="B55" s="86">
        <f t="shared" si="59"/>
        <v>40</v>
      </c>
      <c r="C55" s="71"/>
      <c r="D55" s="101" t="s">
        <v>117</v>
      </c>
      <c r="E55" s="73">
        <v>44450</v>
      </c>
      <c r="F55" s="71">
        <v>3</v>
      </c>
      <c r="G55" s="55">
        <f t="shared" ref="G55" si="75">IF(F55&lt;&gt;"",IF(H$12="x",WORKDAY(IF(WEEKDAY(E55,1)=7,E55+2,IF(WEEKDAY(E55,1)=1,E55+1,E55)),F55-1),E55+F55-1),"")</f>
        <v>44452</v>
      </c>
      <c r="H55" s="74">
        <v>1</v>
      </c>
      <c r="I55" s="47"/>
      <c r="J55" s="47"/>
      <c r="K55" s="47" t="s">
        <v>79</v>
      </c>
      <c r="L55" s="77" t="s">
        <v>80</v>
      </c>
      <c r="M55" s="75"/>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112"/>
    </row>
    <row r="56" spans="2:222">
      <c r="B56" s="86">
        <f t="shared" si="59"/>
        <v>41</v>
      </c>
      <c r="C56" s="71"/>
      <c r="D56" s="101" t="s">
        <v>107</v>
      </c>
      <c r="E56" s="73">
        <v>44457</v>
      </c>
      <c r="F56" s="71">
        <v>2</v>
      </c>
      <c r="G56" s="55">
        <f t="shared" ref="G56" si="76">IF(F56&lt;&gt;"",IF(H$12="x",WORKDAY(IF(WEEKDAY(E56,1)=7,E56+2,IF(WEEKDAY(E56,1)=1,E56+1,E56)),F56-1),E56+F56-1),"")</f>
        <v>44458</v>
      </c>
      <c r="H56" s="74">
        <v>1</v>
      </c>
      <c r="I56" s="47"/>
      <c r="J56" s="47"/>
      <c r="K56" s="104" t="s">
        <v>105</v>
      </c>
      <c r="L56" s="77" t="s">
        <v>66</v>
      </c>
      <c r="M56" s="75"/>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112"/>
    </row>
    <row r="57" spans="2:222" ht="27.6">
      <c r="B57" s="86">
        <f t="shared" si="59"/>
        <v>42</v>
      </c>
      <c r="C57" s="71" t="s">
        <v>27</v>
      </c>
      <c r="D57" s="103" t="s">
        <v>92</v>
      </c>
      <c r="E57" s="73">
        <v>44424</v>
      </c>
      <c r="F57" s="71">
        <v>24</v>
      </c>
      <c r="G57" s="55">
        <f t="shared" si="58"/>
        <v>44447</v>
      </c>
      <c r="H57" s="74"/>
      <c r="I57" s="47"/>
      <c r="J57" s="47" t="s">
        <v>8</v>
      </c>
      <c r="K57" s="47"/>
      <c r="L57" s="77"/>
      <c r="M57" s="75"/>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112"/>
    </row>
    <row r="58" spans="2:222" ht="27.6">
      <c r="B58" s="86">
        <f t="shared" si="59"/>
        <v>43</v>
      </c>
      <c r="C58" s="71"/>
      <c r="D58" s="102" t="s">
        <v>125</v>
      </c>
      <c r="E58" s="73">
        <v>44424</v>
      </c>
      <c r="F58" s="71">
        <v>34</v>
      </c>
      <c r="G58" s="55">
        <f t="shared" si="58"/>
        <v>44457</v>
      </c>
      <c r="H58" s="74">
        <v>1</v>
      </c>
      <c r="I58" s="47"/>
      <c r="J58" s="47"/>
      <c r="K58" s="47" t="s">
        <v>80</v>
      </c>
      <c r="L58" s="77" t="s">
        <v>66</v>
      </c>
      <c r="M58" s="75"/>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112"/>
    </row>
    <row r="59" spans="2:222">
      <c r="B59" s="86">
        <f t="shared" si="59"/>
        <v>44</v>
      </c>
      <c r="C59" s="71"/>
      <c r="D59" s="101" t="s">
        <v>86</v>
      </c>
      <c r="E59" s="73">
        <v>44455</v>
      </c>
      <c r="F59" s="71">
        <v>11</v>
      </c>
      <c r="G59" s="55">
        <f t="shared" si="58"/>
        <v>44465</v>
      </c>
      <c r="H59" s="74">
        <v>1</v>
      </c>
      <c r="I59" s="47"/>
      <c r="J59" s="47"/>
      <c r="K59" s="47" t="s">
        <v>80</v>
      </c>
      <c r="L59" s="77" t="s">
        <v>66</v>
      </c>
      <c r="M59" s="75"/>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112"/>
    </row>
    <row r="60" spans="2:222">
      <c r="B60" s="86">
        <f t="shared" si="59"/>
        <v>45</v>
      </c>
      <c r="C60" s="71"/>
      <c r="D60" s="101" t="s">
        <v>93</v>
      </c>
      <c r="E60" s="73">
        <v>44412</v>
      </c>
      <c r="F60" s="71">
        <v>36</v>
      </c>
      <c r="G60" s="55">
        <f t="shared" si="58"/>
        <v>44447</v>
      </c>
      <c r="H60" s="74">
        <v>1</v>
      </c>
      <c r="I60" s="47"/>
      <c r="J60" s="47"/>
      <c r="K60" s="47" t="s">
        <v>80</v>
      </c>
      <c r="L60" s="77" t="s">
        <v>66</v>
      </c>
      <c r="M60" s="75"/>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112"/>
    </row>
    <row r="61" spans="2:222">
      <c r="B61" s="86">
        <f t="shared" si="59"/>
        <v>46</v>
      </c>
      <c r="C61" s="71"/>
      <c r="D61" s="101" t="s">
        <v>94</v>
      </c>
      <c r="E61" s="73"/>
      <c r="F61" s="71"/>
      <c r="G61" s="55" t="str">
        <f t="shared" si="58"/>
        <v/>
      </c>
      <c r="H61" s="74"/>
      <c r="I61" s="47"/>
      <c r="J61" s="47"/>
      <c r="K61" s="47" t="s">
        <v>80</v>
      </c>
      <c r="L61" s="77" t="s">
        <v>66</v>
      </c>
      <c r="M61" s="75"/>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112"/>
    </row>
    <row r="62" spans="2:222" ht="27.6">
      <c r="B62" s="86">
        <f t="shared" si="59"/>
        <v>47</v>
      </c>
      <c r="C62" s="71" t="s">
        <v>27</v>
      </c>
      <c r="D62" s="103" t="s">
        <v>95</v>
      </c>
      <c r="E62" s="73">
        <v>44417</v>
      </c>
      <c r="F62" s="71">
        <v>12</v>
      </c>
      <c r="G62" s="55">
        <f t="shared" si="58"/>
        <v>44428</v>
      </c>
      <c r="H62" s="74"/>
      <c r="I62" s="47"/>
      <c r="J62" s="47" t="s">
        <v>8</v>
      </c>
      <c r="K62" s="47"/>
      <c r="L62" s="77"/>
      <c r="M62" s="75"/>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112"/>
    </row>
    <row r="63" spans="2:222">
      <c r="B63" s="86">
        <f t="shared" si="59"/>
        <v>48</v>
      </c>
      <c r="C63" s="71"/>
      <c r="D63" s="101" t="s">
        <v>85</v>
      </c>
      <c r="E63" s="73">
        <v>44417</v>
      </c>
      <c r="F63" s="71">
        <v>5</v>
      </c>
      <c r="G63" s="55">
        <f t="shared" si="58"/>
        <v>44421</v>
      </c>
      <c r="H63" s="74">
        <v>1</v>
      </c>
      <c r="I63" s="47"/>
      <c r="J63" s="47"/>
      <c r="K63" s="47" t="s">
        <v>80</v>
      </c>
      <c r="L63" s="77" t="s">
        <v>66</v>
      </c>
      <c r="M63" s="75"/>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112"/>
    </row>
    <row r="64" spans="2:222">
      <c r="B64" s="86">
        <f t="shared" si="59"/>
        <v>49</v>
      </c>
      <c r="C64" s="71"/>
      <c r="D64" s="101" t="s">
        <v>117</v>
      </c>
      <c r="E64" s="73">
        <v>44423</v>
      </c>
      <c r="F64" s="71">
        <v>6</v>
      </c>
      <c r="G64" s="55">
        <f t="shared" ref="G64" si="77">IF(F64&lt;&gt;"",IF(H$12="x",WORKDAY(IF(WEEKDAY(E64,1)=7,E64+2,IF(WEEKDAY(E64,1)=1,E64+1,E64)),F64-1),E64+F64-1),"")</f>
        <v>44428</v>
      </c>
      <c r="H64" s="74"/>
      <c r="I64" s="47"/>
      <c r="J64" s="47"/>
      <c r="K64" s="47" t="s">
        <v>80</v>
      </c>
      <c r="L64" s="77" t="s">
        <v>66</v>
      </c>
      <c r="M64" s="75"/>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112"/>
    </row>
    <row r="65" spans="2:222">
      <c r="B65" s="86">
        <f t="shared" si="59"/>
        <v>50</v>
      </c>
      <c r="C65" s="71" t="s">
        <v>27</v>
      </c>
      <c r="D65" s="72" t="s">
        <v>99</v>
      </c>
      <c r="E65" s="73">
        <v>44363</v>
      </c>
      <c r="F65" s="71">
        <v>65</v>
      </c>
      <c r="G65" s="55">
        <f>IF(F65&lt;&gt;"",IF(H$12="x",WORKDAY(IF(WEEKDAY(E65,1)=7,E65+2,IF(WEEKDAY(E65,1)=1,E65+1,E65)),F65-1),E65+F65-1),"")</f>
        <v>44427</v>
      </c>
      <c r="H65" s="74"/>
      <c r="I65" s="47"/>
      <c r="J65" s="47" t="s">
        <v>8</v>
      </c>
      <c r="K65" s="47"/>
      <c r="L65" s="77"/>
      <c r="M65" s="75"/>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8"/>
      <c r="FS65" s="8"/>
      <c r="FT65" s="8"/>
      <c r="FU65" s="8"/>
      <c r="FV65" s="8"/>
      <c r="FW65" s="8"/>
      <c r="FX65" s="8"/>
      <c r="FY65" s="8"/>
      <c r="FZ65" s="8"/>
      <c r="GA65" s="8"/>
      <c r="GB65" s="8"/>
      <c r="GC65" s="8"/>
      <c r="GD65" s="8"/>
      <c r="GE65" s="8"/>
      <c r="GF65" s="8"/>
      <c r="GG65" s="8"/>
      <c r="GH65" s="8"/>
      <c r="GI65" s="8"/>
      <c r="GJ65" s="8"/>
      <c r="GK65" s="8"/>
      <c r="GL65" s="8"/>
      <c r="GM65" s="8"/>
      <c r="GN65" s="8"/>
      <c r="GO65" s="8"/>
      <c r="GP65" s="8"/>
      <c r="GQ65" s="8"/>
      <c r="GR65" s="8"/>
      <c r="GS65" s="8"/>
      <c r="GT65" s="8"/>
      <c r="GU65" s="8"/>
      <c r="GV65" s="8"/>
      <c r="GW65" s="8"/>
      <c r="GX65" s="8"/>
      <c r="GY65" s="8"/>
      <c r="GZ65" s="8"/>
      <c r="HA65" s="8"/>
      <c r="HB65" s="8"/>
      <c r="HC65" s="8"/>
      <c r="HD65" s="8"/>
      <c r="HE65" s="8"/>
      <c r="HF65" s="8"/>
      <c r="HG65" s="8"/>
      <c r="HH65" s="8"/>
      <c r="HI65" s="8"/>
      <c r="HJ65" s="8"/>
      <c r="HK65" s="8"/>
      <c r="HL65" s="8"/>
      <c r="HM65" s="8"/>
      <c r="HN65" s="112"/>
    </row>
    <row r="66" spans="2:222">
      <c r="B66" s="86">
        <f t="shared" si="59"/>
        <v>51</v>
      </c>
      <c r="C66" s="71"/>
      <c r="D66" s="102" t="s">
        <v>126</v>
      </c>
      <c r="E66" s="73">
        <v>44363</v>
      </c>
      <c r="F66" s="71">
        <v>4</v>
      </c>
      <c r="G66" s="55">
        <f t="shared" si="58"/>
        <v>44366</v>
      </c>
      <c r="H66" s="74">
        <v>1</v>
      </c>
      <c r="I66" s="47"/>
      <c r="J66" s="47"/>
      <c r="K66" s="47" t="s">
        <v>79</v>
      </c>
      <c r="L66" s="77" t="s">
        <v>66</v>
      </c>
      <c r="M66" s="75"/>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112"/>
    </row>
    <row r="67" spans="2:222">
      <c r="B67" s="86">
        <f t="shared" si="59"/>
        <v>52</v>
      </c>
      <c r="C67" s="71"/>
      <c r="D67" s="102" t="s">
        <v>100</v>
      </c>
      <c r="E67" s="73">
        <v>44364</v>
      </c>
      <c r="F67" s="71">
        <v>6</v>
      </c>
      <c r="G67" s="55">
        <f t="shared" ref="G67" si="78">IF(F67&lt;&gt;"",IF(H$12="x",WORKDAY(IF(WEEKDAY(E67,1)=7,E67+2,IF(WEEKDAY(E67,1)=1,E67+1,E67)),F67-1),E67+F67-1),"")</f>
        <v>44369</v>
      </c>
      <c r="H67" s="74">
        <v>1</v>
      </c>
      <c r="I67" s="47"/>
      <c r="J67" s="47"/>
      <c r="K67" s="47" t="s">
        <v>79</v>
      </c>
      <c r="L67" s="77" t="s">
        <v>66</v>
      </c>
      <c r="M67" s="75"/>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112"/>
    </row>
    <row r="68" spans="2:222">
      <c r="B68" s="86">
        <f t="shared" si="59"/>
        <v>53</v>
      </c>
      <c r="C68" s="71"/>
      <c r="D68" s="101" t="s">
        <v>101</v>
      </c>
      <c r="E68" s="73">
        <v>44364</v>
      </c>
      <c r="F68" s="71">
        <v>2</v>
      </c>
      <c r="G68" s="55">
        <f t="shared" ref="G68:G69" si="79">IF(F68&lt;&gt;"",IF(H$12="x",WORKDAY(IF(WEEKDAY(E68,1)=7,E68+2,IF(WEEKDAY(E68,1)=1,E68+1,E68)),F68-1),E68+F68-1),"")</f>
        <v>44365</v>
      </c>
      <c r="H68" s="74">
        <v>1</v>
      </c>
      <c r="I68" s="47"/>
      <c r="J68" s="47"/>
      <c r="K68" s="47" t="s">
        <v>79</v>
      </c>
      <c r="L68" s="77" t="s">
        <v>66</v>
      </c>
      <c r="M68" s="75"/>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112"/>
    </row>
    <row r="69" spans="2:222">
      <c r="B69" s="86">
        <f t="shared" si="59"/>
        <v>54</v>
      </c>
      <c r="C69" s="71"/>
      <c r="D69" s="101" t="s">
        <v>106</v>
      </c>
      <c r="E69" s="73">
        <v>44467</v>
      </c>
      <c r="F69" s="71">
        <v>1</v>
      </c>
      <c r="G69" s="55">
        <f t="shared" si="79"/>
        <v>44467</v>
      </c>
      <c r="H69" s="74">
        <v>1</v>
      </c>
      <c r="I69" s="47"/>
      <c r="J69" s="47"/>
      <c r="K69" s="47" t="s">
        <v>79</v>
      </c>
      <c r="L69" s="77" t="s">
        <v>66</v>
      </c>
      <c r="M69" s="75"/>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112"/>
    </row>
    <row r="70" spans="2:222">
      <c r="B70" s="86">
        <f t="shared" si="59"/>
        <v>55</v>
      </c>
      <c r="C70" s="71"/>
      <c r="D70" s="101" t="s">
        <v>102</v>
      </c>
      <c r="E70" s="73">
        <v>44427</v>
      </c>
      <c r="F70" s="71">
        <v>1</v>
      </c>
      <c r="G70" s="55">
        <f t="shared" si="58"/>
        <v>44427</v>
      </c>
      <c r="H70" s="74">
        <v>1</v>
      </c>
      <c r="I70" s="47"/>
      <c r="J70" s="47"/>
      <c r="K70" s="47" t="s">
        <v>79</v>
      </c>
      <c r="L70" s="77" t="s">
        <v>66</v>
      </c>
      <c r="M70" s="75"/>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c r="FT70" s="8"/>
      <c r="FU70" s="8"/>
      <c r="FV70" s="8"/>
      <c r="FW70" s="8"/>
      <c r="FX70" s="8"/>
      <c r="FY70" s="8"/>
      <c r="FZ70" s="8"/>
      <c r="GA70" s="8"/>
      <c r="GB70" s="8"/>
      <c r="GC70" s="8"/>
      <c r="GD70" s="8"/>
      <c r="GE70" s="8"/>
      <c r="GF70" s="8"/>
      <c r="GG70" s="8"/>
      <c r="GH70" s="8"/>
      <c r="GI70" s="8"/>
      <c r="GJ70" s="8"/>
      <c r="GK70" s="8"/>
      <c r="GL70" s="8"/>
      <c r="GM70" s="8"/>
      <c r="GN70" s="8"/>
      <c r="GO70" s="8"/>
      <c r="GP70" s="8"/>
      <c r="GQ70" s="8"/>
      <c r="GR70" s="8"/>
      <c r="GS70" s="8"/>
      <c r="GT70" s="8"/>
      <c r="GU70" s="8"/>
      <c r="GV70" s="8"/>
      <c r="GW70" s="8"/>
      <c r="GX70" s="8"/>
      <c r="GY70" s="8"/>
      <c r="GZ70" s="8"/>
      <c r="HA70" s="8"/>
      <c r="HB70" s="8"/>
      <c r="HC70" s="8"/>
      <c r="HD70" s="8"/>
      <c r="HE70" s="8"/>
      <c r="HF70" s="8"/>
      <c r="HG70" s="8"/>
      <c r="HH70" s="8"/>
      <c r="HI70" s="8"/>
      <c r="HJ70" s="8"/>
      <c r="HK70" s="8"/>
      <c r="HL70" s="8"/>
      <c r="HM70" s="8"/>
      <c r="HN70" s="112"/>
    </row>
    <row r="71" spans="2:222">
      <c r="B71" s="86">
        <f t="shared" si="59"/>
        <v>56</v>
      </c>
      <c r="C71" s="71" t="s">
        <v>27</v>
      </c>
      <c r="D71" s="72" t="s">
        <v>96</v>
      </c>
      <c r="E71" s="73">
        <v>44468</v>
      </c>
      <c r="F71" s="71">
        <v>2</v>
      </c>
      <c r="G71" s="55">
        <f>IF(F71&lt;&gt;"",IF(H$12="x",WORKDAY(IF(WEEKDAY(E71,1)=7,E71+2,IF(WEEKDAY(E71,1)=1,E71+1,E71)),F71-1),E71+F71-1),"")</f>
        <v>44469</v>
      </c>
      <c r="H71" s="74"/>
      <c r="I71" s="47"/>
      <c r="J71" s="47" t="s">
        <v>8</v>
      </c>
      <c r="K71" s="47"/>
      <c r="L71" s="77"/>
      <c r="M71" s="75"/>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112"/>
    </row>
    <row r="72" spans="2:222" ht="27.6">
      <c r="B72" s="86">
        <f t="shared" si="59"/>
        <v>57</v>
      </c>
      <c r="C72" s="71"/>
      <c r="D72" s="102" t="s">
        <v>97</v>
      </c>
      <c r="E72" s="73">
        <v>44468</v>
      </c>
      <c r="F72" s="71">
        <v>2</v>
      </c>
      <c r="G72" s="55">
        <f t="shared" ref="G72" si="80">IF(F72&lt;&gt;"",IF(H$12="x",WORKDAY(IF(WEEKDAY(E72,1)=7,E72+2,IF(WEEKDAY(E72,1)=1,E72+1,E72)),F72-1),E72+F72-1),"")</f>
        <v>44469</v>
      </c>
      <c r="H72" s="74">
        <v>1</v>
      </c>
      <c r="I72" s="47"/>
      <c r="J72" s="47"/>
      <c r="K72" s="47" t="s">
        <v>80</v>
      </c>
      <c r="L72" s="77" t="s">
        <v>79</v>
      </c>
      <c r="M72" s="75"/>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112"/>
    </row>
    <row r="73" spans="2:222">
      <c r="B73" s="86">
        <f t="shared" si="59"/>
        <v>58</v>
      </c>
      <c r="C73" s="71"/>
      <c r="D73" s="102" t="s">
        <v>108</v>
      </c>
      <c r="E73" s="73">
        <v>44469</v>
      </c>
      <c r="F73" s="71">
        <v>1</v>
      </c>
      <c r="G73" s="55">
        <f t="shared" ref="G73:G74" si="81">IF(F73&lt;&gt;"",IF(H$12="x",WORKDAY(IF(WEEKDAY(E73,1)=7,E73+2,IF(WEEKDAY(E73,1)=1,E73+1,E73)),F73-1),E73+F73-1),"")</f>
        <v>44469</v>
      </c>
      <c r="H73" s="74">
        <v>1</v>
      </c>
      <c r="I73" s="47"/>
      <c r="J73" s="47"/>
      <c r="K73" s="47" t="s">
        <v>79</v>
      </c>
      <c r="L73" s="77" t="s">
        <v>103</v>
      </c>
      <c r="M73" s="75"/>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FB73" s="8"/>
      <c r="FC73" s="8"/>
      <c r="FD73" s="8"/>
      <c r="FE73" s="8"/>
      <c r="FF73" s="8"/>
      <c r="FG73" s="8"/>
      <c r="FH73" s="8"/>
      <c r="FI73" s="8"/>
      <c r="FJ73" s="8"/>
      <c r="FK73" s="8"/>
      <c r="FL73" s="8"/>
      <c r="FM73" s="8"/>
      <c r="FN73" s="8"/>
      <c r="FO73" s="8"/>
      <c r="FP73" s="8"/>
      <c r="FQ73" s="8"/>
      <c r="FR73" s="8"/>
      <c r="FS73" s="8"/>
      <c r="FT73" s="8"/>
      <c r="FU73" s="8"/>
      <c r="FV73" s="8"/>
      <c r="FW73" s="8"/>
      <c r="FX73" s="8"/>
      <c r="FY73" s="8"/>
      <c r="FZ73" s="8"/>
      <c r="GA73" s="8"/>
      <c r="GB73" s="8"/>
      <c r="GC73" s="8"/>
      <c r="GD73" s="8"/>
      <c r="GE73" s="8"/>
      <c r="GF73" s="8"/>
      <c r="GG73" s="8"/>
      <c r="GH73" s="8"/>
      <c r="GI73" s="8"/>
      <c r="GJ73" s="8"/>
      <c r="GK73" s="8"/>
      <c r="GL73" s="8"/>
      <c r="GM73" s="8"/>
      <c r="GN73" s="8"/>
      <c r="GO73" s="8"/>
      <c r="GP73" s="8"/>
      <c r="GQ73" s="8"/>
      <c r="GR73" s="8"/>
      <c r="GS73" s="8"/>
      <c r="GT73" s="8"/>
      <c r="GU73" s="8"/>
      <c r="GV73" s="8"/>
      <c r="GW73" s="8"/>
      <c r="GX73" s="8"/>
      <c r="GY73" s="8"/>
      <c r="GZ73" s="8"/>
      <c r="HA73" s="8"/>
      <c r="HB73" s="8"/>
      <c r="HC73" s="8"/>
      <c r="HD73" s="8"/>
      <c r="HE73" s="8"/>
      <c r="HF73" s="8"/>
      <c r="HG73" s="8"/>
      <c r="HH73" s="8"/>
      <c r="HI73" s="8"/>
      <c r="HJ73" s="8"/>
      <c r="HK73" s="8"/>
      <c r="HL73" s="8"/>
      <c r="HM73" s="8"/>
      <c r="HN73" s="112"/>
    </row>
    <row r="74" spans="2:222">
      <c r="B74" s="86">
        <f t="shared" si="59"/>
        <v>59</v>
      </c>
      <c r="C74" s="71"/>
      <c r="D74" s="101" t="s">
        <v>98</v>
      </c>
      <c r="E74" s="73">
        <v>44469</v>
      </c>
      <c r="F74" s="71">
        <v>1</v>
      </c>
      <c r="G74" s="55">
        <f t="shared" si="81"/>
        <v>44469</v>
      </c>
      <c r="H74" s="74">
        <v>1</v>
      </c>
      <c r="I74" s="47"/>
      <c r="J74" s="47"/>
      <c r="K74" s="47" t="s">
        <v>79</v>
      </c>
      <c r="L74" s="77" t="s">
        <v>77</v>
      </c>
      <c r="M74" s="75"/>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c r="EG74" s="8"/>
      <c r="EH74" s="8"/>
      <c r="EI74" s="8"/>
      <c r="EJ74" s="8"/>
      <c r="EK74" s="8"/>
      <c r="EL74" s="8"/>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112"/>
    </row>
    <row r="75" spans="2:222">
      <c r="B75" s="86">
        <f t="shared" si="59"/>
        <v>60</v>
      </c>
      <c r="C75" s="71"/>
      <c r="D75" s="101" t="s">
        <v>127</v>
      </c>
      <c r="E75" s="73"/>
      <c r="F75" s="71"/>
      <c r="G75" s="55"/>
      <c r="H75" s="74"/>
      <c r="I75" s="47"/>
      <c r="J75" s="47"/>
      <c r="K75" s="47"/>
      <c r="L75" s="77"/>
      <c r="M75" s="75"/>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112"/>
    </row>
    <row r="76" spans="2:222">
      <c r="B76" s="86">
        <f t="shared" si="59"/>
        <v>61</v>
      </c>
      <c r="C76" s="71" t="s">
        <v>27</v>
      </c>
      <c r="D76" s="103" t="s">
        <v>109</v>
      </c>
      <c r="E76" s="73">
        <v>44471</v>
      </c>
      <c r="F76" s="71">
        <v>11</v>
      </c>
      <c r="G76" s="55">
        <f>IF(F76&lt;&gt;"",IF(H$12="x",WORKDAY(IF(WEEKDAY(E76,1)=7,E76+2,IF(WEEKDAY(E76,1)=1,E76+1,E76)),F76-1),E76+F76-1),"")</f>
        <v>44481</v>
      </c>
      <c r="H76" s="74"/>
      <c r="I76" s="47"/>
      <c r="J76" s="47"/>
      <c r="K76" s="47"/>
      <c r="L76" s="77"/>
      <c r="M76" s="75"/>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8"/>
      <c r="EO76" s="8"/>
      <c r="EP76" s="8"/>
      <c r="EQ76" s="8"/>
      <c r="ER76" s="8"/>
      <c r="ES76" s="8"/>
      <c r="ET76" s="8"/>
      <c r="EU76" s="8"/>
      <c r="EV76" s="8"/>
      <c r="EW76" s="8"/>
      <c r="EX76" s="8"/>
      <c r="EY76" s="8"/>
      <c r="EZ76" s="8"/>
      <c r="FA76" s="8"/>
      <c r="FB76" s="8"/>
      <c r="FC76" s="8"/>
      <c r="FD76" s="8"/>
      <c r="FE76" s="8"/>
      <c r="FF76" s="8"/>
      <c r="FG76" s="8"/>
      <c r="FH76" s="8"/>
      <c r="FI76" s="8"/>
      <c r="FJ76" s="8"/>
      <c r="FK76" s="8"/>
      <c r="FL76" s="8"/>
      <c r="FM76" s="8"/>
      <c r="FN76" s="8"/>
      <c r="FO76" s="8"/>
      <c r="FP76" s="8"/>
      <c r="FQ76" s="8"/>
      <c r="FR76" s="8"/>
      <c r="FS76" s="8"/>
      <c r="FT76" s="8"/>
      <c r="FU76" s="8"/>
      <c r="FV76" s="8"/>
      <c r="FW76" s="8"/>
      <c r="FX76" s="8"/>
      <c r="FY76" s="8"/>
      <c r="FZ76" s="8"/>
      <c r="GA76" s="8"/>
      <c r="GB76" s="8"/>
      <c r="GC76" s="8"/>
      <c r="GD76" s="8"/>
      <c r="GE76" s="8"/>
      <c r="GF76" s="8"/>
      <c r="GG76" s="8"/>
      <c r="GH76" s="8"/>
      <c r="GI76" s="8"/>
      <c r="GJ76" s="8"/>
      <c r="GK76" s="8"/>
      <c r="GL76" s="8"/>
      <c r="GM76" s="8"/>
      <c r="GN76" s="8"/>
      <c r="GO76" s="8"/>
      <c r="GP76" s="8"/>
      <c r="GQ76" s="8"/>
      <c r="GR76" s="8"/>
      <c r="GS76" s="8"/>
      <c r="GT76" s="8"/>
      <c r="GU76" s="8"/>
      <c r="GV76" s="8"/>
      <c r="GW76" s="8"/>
      <c r="GX76" s="8"/>
      <c r="GY76" s="8"/>
      <c r="GZ76" s="8"/>
      <c r="HA76" s="8"/>
      <c r="HB76" s="8"/>
      <c r="HC76" s="8"/>
      <c r="HD76" s="8"/>
      <c r="HE76" s="8"/>
      <c r="HF76" s="8"/>
      <c r="HG76" s="8"/>
      <c r="HH76" s="8"/>
      <c r="HI76" s="8"/>
      <c r="HJ76" s="8"/>
      <c r="HK76" s="8"/>
      <c r="HL76" s="8"/>
      <c r="HM76" s="8"/>
      <c r="HN76" s="112"/>
    </row>
    <row r="77" spans="2:222">
      <c r="B77" s="86">
        <f t="shared" si="59"/>
        <v>62</v>
      </c>
      <c r="C77" s="71"/>
      <c r="D77" s="101" t="s">
        <v>110</v>
      </c>
      <c r="E77" s="73">
        <v>44471</v>
      </c>
      <c r="F77" s="71">
        <v>11</v>
      </c>
      <c r="G77" s="55">
        <f>IF(F77&lt;&gt;"",IF(H$12="x",WORKDAY(IF(WEEKDAY(E77,1)=7,E77+2,IF(WEEKDAY(E77,1)=1,E77+1,E77)),F77-1),E77+F77-1),"")</f>
        <v>44481</v>
      </c>
      <c r="H77" s="74">
        <v>1</v>
      </c>
      <c r="I77" s="47"/>
      <c r="J77" s="47"/>
      <c r="K77" s="47" t="s">
        <v>65</v>
      </c>
      <c r="L77" s="77" t="s">
        <v>66</v>
      </c>
      <c r="M77" s="75"/>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8"/>
      <c r="EG77" s="8"/>
      <c r="EH77" s="8"/>
      <c r="EI77" s="8"/>
      <c r="EJ77" s="8"/>
      <c r="EK77" s="8"/>
      <c r="EL77" s="8"/>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112"/>
    </row>
    <row r="78" spans="2:222" ht="15" thickBot="1">
      <c r="B78" s="107">
        <f t="shared" si="59"/>
        <v>63</v>
      </c>
      <c r="C78" s="87"/>
      <c r="D78" s="108" t="s">
        <v>128</v>
      </c>
      <c r="E78" s="88">
        <v>44472</v>
      </c>
      <c r="F78" s="87">
        <v>10</v>
      </c>
      <c r="G78" s="89">
        <f>IF(F78&lt;&gt;"",IF(H$12="x",WORKDAY(IF(WEEKDAY(E78,1)=7,E78+2,IF(WEEKDAY(E78,1)=1,E78+1,E78)),F78-1),E78+F78-1),"")</f>
        <v>44481</v>
      </c>
      <c r="H78" s="90">
        <v>1</v>
      </c>
      <c r="I78" s="91"/>
      <c r="J78" s="91"/>
      <c r="K78" s="91" t="s">
        <v>65</v>
      </c>
      <c r="L78" s="92" t="s">
        <v>66</v>
      </c>
      <c r="M78" s="109"/>
      <c r="N78" s="110"/>
      <c r="O78" s="110"/>
      <c r="P78" s="110"/>
      <c r="Q78" s="110"/>
      <c r="R78" s="110"/>
      <c r="S78" s="110"/>
      <c r="T78" s="110"/>
      <c r="U78" s="110"/>
      <c r="V78" s="110"/>
      <c r="W78" s="110"/>
      <c r="X78" s="110"/>
      <c r="Y78" s="110"/>
      <c r="Z78" s="110"/>
      <c r="AA78" s="110"/>
      <c r="AB78" s="110"/>
      <c r="AC78" s="110"/>
      <c r="AD78" s="110"/>
      <c r="AE78" s="110"/>
      <c r="AF78" s="110"/>
      <c r="AG78" s="110"/>
      <c r="AH78" s="110"/>
      <c r="AI78" s="110"/>
      <c r="AJ78" s="110"/>
      <c r="AK78" s="110"/>
      <c r="AL78" s="110"/>
      <c r="AM78" s="110"/>
      <c r="AN78" s="110"/>
      <c r="AO78" s="110"/>
      <c r="AP78" s="110"/>
      <c r="AQ78" s="110"/>
      <c r="AR78" s="110"/>
      <c r="AS78" s="110"/>
      <c r="AT78" s="110"/>
      <c r="AU78" s="110"/>
      <c r="AV78" s="110"/>
      <c r="AW78" s="110"/>
      <c r="AX78" s="110"/>
      <c r="AY78" s="110"/>
      <c r="AZ78" s="110"/>
      <c r="BA78" s="110"/>
      <c r="BB78" s="110"/>
      <c r="BC78" s="110"/>
      <c r="BD78" s="110"/>
      <c r="BE78" s="110"/>
      <c r="BF78" s="110"/>
      <c r="BG78" s="110"/>
      <c r="BH78" s="110"/>
      <c r="BI78" s="110"/>
      <c r="BJ78" s="110"/>
      <c r="BK78" s="110"/>
      <c r="BL78" s="110"/>
      <c r="BM78" s="110"/>
      <c r="BN78" s="110"/>
      <c r="BO78" s="110"/>
      <c r="BP78" s="110"/>
      <c r="BQ78" s="110"/>
      <c r="BR78" s="110"/>
      <c r="BS78" s="110"/>
      <c r="BT78" s="110"/>
      <c r="BU78" s="110"/>
      <c r="BV78" s="110"/>
      <c r="BW78" s="110"/>
      <c r="BX78" s="110"/>
      <c r="BY78" s="110"/>
      <c r="BZ78" s="110"/>
      <c r="CA78" s="110"/>
      <c r="CB78" s="110"/>
      <c r="CC78" s="110"/>
      <c r="CD78" s="110"/>
      <c r="CE78" s="110"/>
      <c r="CF78" s="110"/>
      <c r="CG78" s="110"/>
      <c r="CH78" s="110"/>
      <c r="CI78" s="110"/>
      <c r="CJ78" s="110"/>
      <c r="CK78" s="110"/>
      <c r="CL78" s="110"/>
      <c r="CM78" s="110"/>
      <c r="CN78" s="110"/>
      <c r="CO78" s="110"/>
      <c r="CP78" s="110"/>
      <c r="CQ78" s="110"/>
      <c r="CR78" s="110"/>
      <c r="CS78" s="110"/>
      <c r="CT78" s="110"/>
      <c r="CU78" s="110"/>
      <c r="CV78" s="110"/>
      <c r="CW78" s="110"/>
      <c r="CX78" s="110"/>
      <c r="CY78" s="110"/>
      <c r="CZ78" s="110"/>
      <c r="DA78" s="110"/>
      <c r="DB78" s="110"/>
      <c r="DC78" s="110"/>
      <c r="DD78" s="110"/>
      <c r="DE78" s="110"/>
      <c r="DF78" s="110"/>
      <c r="DG78" s="110"/>
      <c r="DH78" s="110"/>
      <c r="DI78" s="110"/>
      <c r="DJ78" s="110"/>
      <c r="DK78" s="110"/>
      <c r="DL78" s="110"/>
      <c r="DM78" s="110"/>
      <c r="DN78" s="110"/>
      <c r="DO78" s="110"/>
      <c r="DP78" s="110"/>
      <c r="DQ78" s="110"/>
      <c r="DR78" s="110"/>
      <c r="DS78" s="110"/>
      <c r="DT78" s="110"/>
      <c r="DU78" s="110"/>
      <c r="DV78" s="110"/>
      <c r="DW78" s="110"/>
      <c r="DX78" s="110"/>
      <c r="DY78" s="110"/>
      <c r="DZ78" s="110"/>
      <c r="EA78" s="110"/>
      <c r="EB78" s="110"/>
      <c r="EC78" s="110"/>
      <c r="ED78" s="110"/>
      <c r="EE78" s="110"/>
      <c r="EF78" s="110"/>
      <c r="EG78" s="110"/>
      <c r="EH78" s="110"/>
      <c r="EI78" s="110"/>
      <c r="EJ78" s="110"/>
      <c r="EK78" s="110"/>
      <c r="EL78" s="110"/>
      <c r="EM78" s="110"/>
      <c r="EN78" s="110"/>
      <c r="EO78" s="110"/>
      <c r="EP78" s="110"/>
      <c r="EQ78" s="110"/>
      <c r="ER78" s="110"/>
      <c r="ES78" s="110"/>
      <c r="ET78" s="110"/>
      <c r="EU78" s="110"/>
      <c r="EV78" s="110"/>
      <c r="EW78" s="110"/>
      <c r="EX78" s="110"/>
      <c r="EY78" s="110"/>
      <c r="EZ78" s="110"/>
      <c r="FA78" s="110"/>
      <c r="FB78" s="110"/>
      <c r="FC78" s="110"/>
      <c r="FD78" s="110"/>
      <c r="FE78" s="110"/>
      <c r="FF78" s="110"/>
      <c r="FG78" s="110"/>
      <c r="FH78" s="110"/>
      <c r="FI78" s="110"/>
      <c r="FJ78" s="110"/>
      <c r="FK78" s="110"/>
      <c r="FL78" s="110"/>
      <c r="FM78" s="110"/>
      <c r="FN78" s="110"/>
      <c r="FO78" s="110"/>
      <c r="FP78" s="110"/>
      <c r="FQ78" s="110"/>
      <c r="FR78" s="110"/>
      <c r="FS78" s="110"/>
      <c r="FT78" s="110"/>
      <c r="FU78" s="110"/>
      <c r="FV78" s="110"/>
      <c r="FW78" s="110"/>
      <c r="FX78" s="110"/>
      <c r="FY78" s="110"/>
      <c r="FZ78" s="110"/>
      <c r="GA78" s="110"/>
      <c r="GB78" s="110"/>
      <c r="GC78" s="110"/>
      <c r="GD78" s="110"/>
      <c r="GE78" s="110"/>
      <c r="GF78" s="110"/>
      <c r="GG78" s="110"/>
      <c r="GH78" s="110"/>
      <c r="GI78" s="110"/>
      <c r="GJ78" s="110"/>
      <c r="GK78" s="110"/>
      <c r="GL78" s="110"/>
      <c r="GM78" s="110"/>
      <c r="GN78" s="110"/>
      <c r="GO78" s="110"/>
      <c r="GP78" s="110"/>
      <c r="GQ78" s="110"/>
      <c r="GR78" s="110"/>
      <c r="GS78" s="110"/>
      <c r="GT78" s="110"/>
      <c r="GU78" s="110"/>
      <c r="GV78" s="110"/>
      <c r="GW78" s="110"/>
      <c r="GX78" s="110"/>
      <c r="GY78" s="110"/>
      <c r="GZ78" s="110"/>
      <c r="HA78" s="110"/>
      <c r="HB78" s="110"/>
      <c r="HC78" s="110"/>
      <c r="HD78" s="110"/>
      <c r="HE78" s="110"/>
      <c r="HF78" s="110"/>
      <c r="HG78" s="110"/>
      <c r="HH78" s="110"/>
      <c r="HI78" s="110"/>
      <c r="HJ78" s="110"/>
      <c r="HK78" s="110"/>
      <c r="HL78" s="110"/>
      <c r="HM78" s="110"/>
      <c r="HN78" s="113"/>
    </row>
    <row r="79" spans="2:222">
      <c r="M79" s="4"/>
      <c r="N79" s="4"/>
      <c r="O79" s="4"/>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5"/>
      <c r="CD79" s="5"/>
      <c r="CE79" s="5"/>
      <c r="CF79" s="5"/>
      <c r="CG79" s="5"/>
      <c r="CH79" s="5"/>
      <c r="CI79" s="5"/>
      <c r="CJ79" s="5"/>
      <c r="CK79" s="5"/>
      <c r="CL79" s="5"/>
      <c r="CM79" s="5"/>
      <c r="CN79" s="5"/>
      <c r="CO79" s="5"/>
      <c r="CP79" s="5"/>
      <c r="CQ79" s="5"/>
      <c r="CR79" s="5"/>
      <c r="CS79" s="5"/>
      <c r="CT79" s="5"/>
      <c r="CU79" s="5"/>
      <c r="CV79" s="5"/>
      <c r="CW79" s="5"/>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row>
    <row r="80" spans="2:222">
      <c r="M80" s="3"/>
      <c r="N80" s="3"/>
      <c r="O80" s="3"/>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row>
  </sheetData>
  <sheetProtection formatCells="0"/>
  <mergeCells count="77">
    <mergeCell ref="B4:D4"/>
    <mergeCell ref="B5:D5"/>
    <mergeCell ref="B6:D6"/>
    <mergeCell ref="B7:D7"/>
    <mergeCell ref="E8:I10"/>
    <mergeCell ref="E7:I7"/>
    <mergeCell ref="E6:I6"/>
    <mergeCell ref="E5:I5"/>
    <mergeCell ref="E4:I4"/>
    <mergeCell ref="B10:C10"/>
    <mergeCell ref="B8:D9"/>
    <mergeCell ref="H13:I13"/>
    <mergeCell ref="DN11:DT11"/>
    <mergeCell ref="CE11:CK11"/>
    <mergeCell ref="CL11:CR11"/>
    <mergeCell ref="CS11:CY11"/>
    <mergeCell ref="CZ11:DF11"/>
    <mergeCell ref="DG11:DM11"/>
    <mergeCell ref="M11:S11"/>
    <mergeCell ref="AV11:BB11"/>
    <mergeCell ref="BC11:BI11"/>
    <mergeCell ref="H12:I12"/>
    <mergeCell ref="H11:I11"/>
    <mergeCell ref="AO11:AU11"/>
    <mergeCell ref="B11:D11"/>
    <mergeCell ref="FK11:FQ11"/>
    <mergeCell ref="FR11:FX11"/>
    <mergeCell ref="M10:S10"/>
    <mergeCell ref="T10:Z10"/>
    <mergeCell ref="AA10:AG10"/>
    <mergeCell ref="AH10:AN10"/>
    <mergeCell ref="BJ11:BP11"/>
    <mergeCell ref="BQ11:BW11"/>
    <mergeCell ref="BX11:CD11"/>
    <mergeCell ref="BX10:CD10"/>
    <mergeCell ref="AO10:AU10"/>
    <mergeCell ref="AV10:BB10"/>
    <mergeCell ref="BC10:BI10"/>
    <mergeCell ref="BJ10:BP10"/>
    <mergeCell ref="BQ10:BW10"/>
    <mergeCell ref="EB11:EH11"/>
    <mergeCell ref="EI11:EO11"/>
    <mergeCell ref="EP11:EV11"/>
    <mergeCell ref="EW11:FC11"/>
    <mergeCell ref="FD11:FJ11"/>
    <mergeCell ref="CZ10:DF10"/>
    <mergeCell ref="FY10:GE10"/>
    <mergeCell ref="GF10:GL10"/>
    <mergeCell ref="GM10:GS10"/>
    <mergeCell ref="EP10:EV10"/>
    <mergeCell ref="EW10:FC10"/>
    <mergeCell ref="FD10:FJ10"/>
    <mergeCell ref="FK10:FQ10"/>
    <mergeCell ref="FR10:FX10"/>
    <mergeCell ref="HA10:HG10"/>
    <mergeCell ref="HH10:HN10"/>
    <mergeCell ref="HA11:HG11"/>
    <mergeCell ref="HH11:HN11"/>
    <mergeCell ref="FY11:GE11"/>
    <mergeCell ref="GF11:GL11"/>
    <mergeCell ref="GM11:GS11"/>
    <mergeCell ref="H1:K2"/>
    <mergeCell ref="B1:G2"/>
    <mergeCell ref="T11:Z11"/>
    <mergeCell ref="AA11:AG11"/>
    <mergeCell ref="GT10:GZ10"/>
    <mergeCell ref="GT11:GZ11"/>
    <mergeCell ref="DU11:EA11"/>
    <mergeCell ref="AH11:AN11"/>
    <mergeCell ref="DG10:DM10"/>
    <mergeCell ref="DN10:DT10"/>
    <mergeCell ref="DU10:EA10"/>
    <mergeCell ref="EB10:EH10"/>
    <mergeCell ref="EI10:EO10"/>
    <mergeCell ref="CE10:CK10"/>
    <mergeCell ref="CL10:CR10"/>
    <mergeCell ref="CS10:CY10"/>
  </mergeCells>
  <phoneticPr fontId="45" type="noConversion"/>
  <conditionalFormatting sqref="M10:HN10">
    <cfRule type="expression" dxfId="80" priority="404">
      <formula>OR(TEXT(M10,"MMMM")="Februar",TEXT(M10,"MMMM")="April",TEXT(M10,"MMMM")="Juni",TEXT(M10,"MMMM")="August",TEXT(M10,"MMMM")="Oktober",TEXT(M10,"MMMM")="Dezember")</formula>
    </cfRule>
  </conditionalFormatting>
  <conditionalFormatting sqref="M13:HN14 M16:HN78">
    <cfRule type="expression" dxfId="79" priority="242">
      <formula>AND(M$14=TODAY())</formula>
    </cfRule>
  </conditionalFormatting>
  <conditionalFormatting sqref="M13:HU14">
    <cfRule type="expression" dxfId="78" priority="326">
      <formula>AND(M$13="So")</formula>
    </cfRule>
    <cfRule type="expression" dxfId="77" priority="328">
      <formula>AND(M$13="Sa")</formula>
    </cfRule>
  </conditionalFormatting>
  <conditionalFormatting sqref="N13:U14 O14:HN14">
    <cfRule type="expression" dxfId="76" priority="327">
      <formula>AND(N$13="Sa")</formula>
    </cfRule>
  </conditionalFormatting>
  <conditionalFormatting sqref="N13:X14">
    <cfRule type="expression" dxfId="75" priority="324">
      <formula>AND(N$13="So")</formula>
    </cfRule>
    <cfRule type="expression" dxfId="74" priority="325">
      <formula>AND(N$13="Sa")</formula>
    </cfRule>
  </conditionalFormatting>
  <conditionalFormatting sqref="M16:HN78">
    <cfRule type="expression" dxfId="73" priority="109">
      <formula>AND($I16=M$14,$J16&lt;&gt;"F",$I16&lt;TODAY())</formula>
    </cfRule>
    <cfRule type="expression" dxfId="72" priority="162">
      <formula>AND($I16=M$14)</formula>
    </cfRule>
    <cfRule type="expression" dxfId="71" priority="183">
      <formula>IF($H$12="x",AND(OR(M$13="Sa",M$13="So")))</formula>
    </cfRule>
    <cfRule type="expression" dxfId="70" priority="187">
      <formula>AND($G16&lt;&gt;"",AND(M$14&gt;=$E16,M$14&lt;=$G16))</formula>
    </cfRule>
  </conditionalFormatting>
  <conditionalFormatting sqref="M16:HN78">
    <cfRule type="expression" dxfId="69" priority="184">
      <formula>AND($H16&gt;0,AND(M$14&gt;=$E16,M$14&lt;=$E16+($G16-$E16)*$H16))</formula>
    </cfRule>
  </conditionalFormatting>
  <conditionalFormatting sqref="M16:HN23 M25:HN42 M50:HN78">
    <cfRule type="expression" dxfId="68" priority="428">
      <formula>MOD(COLUMN(),2)</formula>
    </cfRule>
  </conditionalFormatting>
  <conditionalFormatting sqref="M16:HN23 M25:HN42 M50:HN78">
    <cfRule type="expression" dxfId="67" priority="180">
      <formula>OR($C16="X",$C16="x")</formula>
    </cfRule>
  </conditionalFormatting>
  <conditionalFormatting sqref="M16:HN78">
    <cfRule type="expression" dxfId="66" priority="398">
      <formula>AND(OR(M$13="Sa",M$13="So"))</formula>
    </cfRule>
  </conditionalFormatting>
  <conditionalFormatting sqref="I16:J23 I25:J42 I66:J72 I50:J64 I78:J78">
    <cfRule type="expression" dxfId="65" priority="111">
      <formula>AND($J16="F")</formula>
    </cfRule>
    <cfRule type="expression" dxfId="64" priority="156">
      <formula>AND($I16&lt;&gt;"",AND($I16&lt;TODAY()))</formula>
    </cfRule>
  </conditionalFormatting>
  <conditionalFormatting sqref="N14">
    <cfRule type="expression" dxfId="63" priority="163">
      <formula>AND(N$13="So")</formula>
    </cfRule>
    <cfRule type="expression" dxfId="62" priority="164">
      <formula>AND(N$13="Sa")</formula>
    </cfRule>
  </conditionalFormatting>
  <conditionalFormatting sqref="N14:R14">
    <cfRule type="expression" dxfId="61" priority="159">
      <formula>AND(N$13="So")</formula>
    </cfRule>
    <cfRule type="expression" dxfId="60" priority="160">
      <formula>AND(N$13="Sa")</formula>
    </cfRule>
  </conditionalFormatting>
  <conditionalFormatting sqref="C16:L23 C53:F53 C52 E52 C54:C56 C57:L57 C60:G61 C62:L62 C65:H65 C71:L71 C50:E51 I50:L52 C72:E72 I72:L72 F59:G59 C58:C59 H58:L61 C31:D40 I31:L42 C25:L30 K43:L45 I54:L56 E54:F56 L66:L70 E73:E75 C66:J70 H53:L53 C78:D78 I78:J78 L46:L48 C41:C42 C63:C64 K65:L65 E63:L64">
    <cfRule type="expression" dxfId="59" priority="185">
      <formula>OR($C16="X",$C16="x")</formula>
    </cfRule>
  </conditionalFormatting>
  <conditionalFormatting sqref="M24:HN24">
    <cfRule type="expression" dxfId="58" priority="108">
      <formula>MOD(COLUMN(),2)</formula>
    </cfRule>
  </conditionalFormatting>
  <conditionalFormatting sqref="M24:HN24">
    <cfRule type="expression" dxfId="57" priority="101">
      <formula>OR($C24="X",$C24="x")</formula>
    </cfRule>
  </conditionalFormatting>
  <conditionalFormatting sqref="I24:J24">
    <cfRule type="expression" dxfId="56" priority="98">
      <formula>AND($J24="F")</formula>
    </cfRule>
    <cfRule type="expression" dxfId="55" priority="99">
      <formula>AND($I24&lt;&gt;"",AND($I24&lt;TODAY()))</formula>
    </cfRule>
  </conditionalFormatting>
  <conditionalFormatting sqref="C24:G24 I24:J24">
    <cfRule type="expression" dxfId="54" priority="104">
      <formula>OR($C24="X",$C24="x")</formula>
    </cfRule>
  </conditionalFormatting>
  <conditionalFormatting sqref="M43:HN49">
    <cfRule type="expression" dxfId="53" priority="84">
      <formula>MOD(COLUMN(),2)</formula>
    </cfRule>
  </conditionalFormatting>
  <conditionalFormatting sqref="M43:HN49">
    <cfRule type="expression" dxfId="52" priority="77">
      <formula>OR($C43="X",$C43="x")</formula>
    </cfRule>
  </conditionalFormatting>
  <conditionalFormatting sqref="I43:J49">
    <cfRule type="expression" dxfId="51" priority="74">
      <formula>AND($J43="F")</formula>
    </cfRule>
    <cfRule type="expression" dxfId="50" priority="75">
      <formula>AND($I43&lt;&gt;"",AND($I43&lt;TODAY()))</formula>
    </cfRule>
  </conditionalFormatting>
  <conditionalFormatting sqref="C49:F49 C43:C48 H49:L49 I46:K47 I43:J45 I48:J48">
    <cfRule type="expression" dxfId="49" priority="80">
      <formula>OR($C43="X",$C43="x")</formula>
    </cfRule>
  </conditionalFormatting>
  <conditionalFormatting sqref="K24">
    <cfRule type="expression" dxfId="48" priority="72">
      <formula>OR($C24="X",$C24="x")</formula>
    </cfRule>
  </conditionalFormatting>
  <conditionalFormatting sqref="L24">
    <cfRule type="expression" dxfId="47" priority="71">
      <formula>OR($C24="X",$C24="x")</formula>
    </cfRule>
  </conditionalFormatting>
  <conditionalFormatting sqref="H24">
    <cfRule type="expression" dxfId="46" priority="70">
      <formula>OR($C24="X",$C24="x")</formula>
    </cfRule>
  </conditionalFormatting>
  <conditionalFormatting sqref="E45">
    <cfRule type="expression" dxfId="45" priority="66">
      <formula>OR($C45="X",$C45="x")</formula>
    </cfRule>
  </conditionalFormatting>
  <conditionalFormatting sqref="E48">
    <cfRule type="expression" dxfId="44" priority="63">
      <formula>OR($C48="X",$C48="x")</formula>
    </cfRule>
  </conditionalFormatting>
  <conditionalFormatting sqref="E46">
    <cfRule type="expression" dxfId="43" priority="61">
      <formula>OR($C46="X",$C46="x")</formula>
    </cfRule>
  </conditionalFormatting>
  <conditionalFormatting sqref="D54">
    <cfRule type="expression" dxfId="42" priority="54">
      <formula>OR($C54="X",$C54="x")</formula>
    </cfRule>
  </conditionalFormatting>
  <conditionalFormatting sqref="D56">
    <cfRule type="expression" dxfId="41" priority="53">
      <formula>OR($C56="X",$C56="x")</formula>
    </cfRule>
  </conditionalFormatting>
  <conditionalFormatting sqref="E32:H32 E35:H35 E37:G37 E39:G39">
    <cfRule type="expression" dxfId="40" priority="33">
      <formula>OR($C32="X",$C32="x")</formula>
    </cfRule>
  </conditionalFormatting>
  <conditionalFormatting sqref="E36:H36 E38:G38 E33:H34 H37:H39">
    <cfRule type="expression" dxfId="39" priority="32">
      <formula>OR($C33="X",$C33="x")</formula>
    </cfRule>
  </conditionalFormatting>
  <conditionalFormatting sqref="D58:D59">
    <cfRule type="expression" dxfId="38" priority="52">
      <formula>OR($C58="X",$C58="x")</formula>
    </cfRule>
  </conditionalFormatting>
  <conditionalFormatting sqref="D63">
    <cfRule type="expression" dxfId="37" priority="49">
      <formula>OR($C63="X",$C63="x")</formula>
    </cfRule>
  </conditionalFormatting>
  <conditionalFormatting sqref="K66:K70">
    <cfRule type="expression" dxfId="36" priority="44">
      <formula>OR($C66="X",$C66="x")</formula>
    </cfRule>
  </conditionalFormatting>
  <conditionalFormatting sqref="K74:K75">
    <cfRule type="expression" dxfId="35" priority="39">
      <formula>OR($C74="X",$C74="x")</formula>
    </cfRule>
  </conditionalFormatting>
  <conditionalFormatting sqref="I71:J77">
    <cfRule type="expression" dxfId="34" priority="40">
      <formula>AND($J71="F")</formula>
    </cfRule>
    <cfRule type="expression" dxfId="33" priority="41">
      <formula>AND($I71&lt;&gt;"",AND($I71&lt;TODAY()))</formula>
    </cfRule>
  </conditionalFormatting>
  <conditionalFormatting sqref="C71:L71 C76:J76 K74:K75 I73:L73 I72:J75 C72:E75 E78:G78 C77:G77 I77:J77 L72:L78">
    <cfRule type="expression" dxfId="32" priority="42">
      <formula>OR($C71="X",$C71="x")</formula>
    </cfRule>
  </conditionalFormatting>
  <conditionalFormatting sqref="K76:K78">
    <cfRule type="expression" dxfId="31" priority="38">
      <formula>OR($C76="X",$C76="x")</formula>
    </cfRule>
  </conditionalFormatting>
  <conditionalFormatting sqref="K72">
    <cfRule type="expression" dxfId="30" priority="37">
      <formula>OR($C72="X",$C72="x")</formula>
    </cfRule>
  </conditionalFormatting>
  <conditionalFormatting sqref="K73:K75">
    <cfRule type="expression" dxfId="29" priority="36">
      <formula>OR($C73="X",$C73="x")</formula>
    </cfRule>
  </conditionalFormatting>
  <conditionalFormatting sqref="E41:H41 E43:G43 H42:H48">
    <cfRule type="expression" dxfId="28" priority="31">
      <formula>OR($C41="X",$C41="x")</formula>
    </cfRule>
  </conditionalFormatting>
  <conditionalFormatting sqref="E42:G42 E44:G44">
    <cfRule type="expression" dxfId="27" priority="30">
      <formula>OR($C42="X",$C42="x")</formula>
    </cfRule>
  </conditionalFormatting>
  <conditionalFormatting sqref="F45:G45">
    <cfRule type="expression" dxfId="26" priority="29">
      <formula>OR($C45="X",$C45="x")</formula>
    </cfRule>
  </conditionalFormatting>
  <conditionalFormatting sqref="F46:G46">
    <cfRule type="expression" dxfId="25" priority="28">
      <formula>OR($C46="X",$C46="x")</formula>
    </cfRule>
  </conditionalFormatting>
  <conditionalFormatting sqref="E47">
    <cfRule type="expression" dxfId="24" priority="27">
      <formula>OR($C47="X",$C47="x")</formula>
    </cfRule>
  </conditionalFormatting>
  <conditionalFormatting sqref="F47:G47">
    <cfRule type="expression" dxfId="23" priority="26">
      <formula>OR($C47="X",$C47="x")</formula>
    </cfRule>
  </conditionalFormatting>
  <conditionalFormatting sqref="F48:G48">
    <cfRule type="expression" dxfId="22" priority="25">
      <formula>OR($C48="X",$C48="x")</formula>
    </cfRule>
  </conditionalFormatting>
  <conditionalFormatting sqref="F50:H50 H51:H52">
    <cfRule type="expression" dxfId="21" priority="24">
      <formula>OR($C50="X",$C50="x")</formula>
    </cfRule>
  </conditionalFormatting>
  <conditionalFormatting sqref="F51:G51">
    <cfRule type="expression" dxfId="20" priority="23">
      <formula>OR($C51="X",$C51="x")</formula>
    </cfRule>
  </conditionalFormatting>
  <conditionalFormatting sqref="F52:G52">
    <cfRule type="expression" dxfId="19" priority="22">
      <formula>OR($C52="X",$C52="x")</formula>
    </cfRule>
  </conditionalFormatting>
  <conditionalFormatting sqref="F72:H75">
    <cfRule type="expression" dxfId="18" priority="21">
      <formula>OR($C72="X",$C72="x")</formula>
    </cfRule>
  </conditionalFormatting>
  <conditionalFormatting sqref="E31:H31">
    <cfRule type="expression" dxfId="17" priority="20">
      <formula>OR($C31="X",$C31="x")</formula>
    </cfRule>
  </conditionalFormatting>
  <conditionalFormatting sqref="E40:H40">
    <cfRule type="expression" dxfId="16" priority="19">
      <formula>OR($C40="X",$C40="x")</formula>
    </cfRule>
  </conditionalFormatting>
  <conditionalFormatting sqref="H54:H56">
    <cfRule type="expression" dxfId="15" priority="18">
      <formula>OR($C54="X",$C54="x")</formula>
    </cfRule>
  </conditionalFormatting>
  <conditionalFormatting sqref="E59">
    <cfRule type="expression" dxfId="14" priority="14">
      <formula>OR($C59="X",$C59="x")</formula>
    </cfRule>
  </conditionalFormatting>
  <conditionalFormatting sqref="E58">
    <cfRule type="expression" dxfId="13" priority="16">
      <formula>OR($C58="X",$C58="x")</formula>
    </cfRule>
  </conditionalFormatting>
  <conditionalFormatting sqref="F58:G58">
    <cfRule type="expression" dxfId="12" priority="15">
      <formula>OR($C58="X",$C58="x")</formula>
    </cfRule>
  </conditionalFormatting>
  <conditionalFormatting sqref="K48">
    <cfRule type="expression" dxfId="11" priority="13">
      <formula>OR($C48="X",$C48="x")</formula>
    </cfRule>
  </conditionalFormatting>
  <conditionalFormatting sqref="I65:J65">
    <cfRule type="expression" dxfId="10" priority="10">
      <formula>AND($J65="F")</formula>
    </cfRule>
    <cfRule type="expression" dxfId="9" priority="11">
      <formula>AND($I65&lt;&gt;"",AND($I65&lt;TODAY()))</formula>
    </cfRule>
  </conditionalFormatting>
  <conditionalFormatting sqref="I65:J65">
    <cfRule type="expression" dxfId="8" priority="12">
      <formula>OR($C65="X",$C65="x")</formula>
    </cfRule>
  </conditionalFormatting>
  <conditionalFormatting sqref="G54:G56">
    <cfRule type="expression" dxfId="7" priority="9">
      <formula>OR($C54="X",$C54="x")</formula>
    </cfRule>
  </conditionalFormatting>
  <conditionalFormatting sqref="G49">
    <cfRule type="expression" dxfId="6" priority="8">
      <formula>OR($C49="X",$C49="x")</formula>
    </cfRule>
  </conditionalFormatting>
  <conditionalFormatting sqref="G53">
    <cfRule type="expression" dxfId="5" priority="7">
      <formula>OR($C53="X",$C53="x")</formula>
    </cfRule>
  </conditionalFormatting>
  <conditionalFormatting sqref="H77:H78">
    <cfRule type="expression" dxfId="4" priority="6">
      <formula>OR($C77="X",$C77="x")</formula>
    </cfRule>
  </conditionalFormatting>
  <conditionalFormatting sqref="D41:D48">
    <cfRule type="expression" dxfId="3" priority="5">
      <formula>OR($C41="X",$C41="x")</formula>
    </cfRule>
  </conditionalFormatting>
  <conditionalFormatting sqref="D52">
    <cfRule type="expression" dxfId="2" priority="4">
      <formula>OR($C52="X",$C52="x")</formula>
    </cfRule>
  </conditionalFormatting>
  <conditionalFormatting sqref="D64">
    <cfRule type="expression" dxfId="1" priority="1">
      <formula>OR($C64="X",$C64="x")</formula>
    </cfRule>
  </conditionalFormatting>
  <conditionalFormatting sqref="D55">
    <cfRule type="expression" dxfId="0" priority="2">
      <formula>OR($C55="X",$C55="x")</formula>
    </cfRule>
  </conditionalFormatting>
  <pageMargins left="0.7" right="0.7" top="0.78740157499999996" bottom="0.78740157499999996" header="0.3" footer="0.3"/>
  <pageSetup paperSize="9" scale="39" fitToWidth="0"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7776-FE98-4416-A747-D5A433DBFBEB}">
  <sheetPr>
    <tabColor theme="4" tint="-0.249977111117893"/>
  </sheetPr>
  <dimension ref="A1:K34"/>
  <sheetViews>
    <sheetView topLeftCell="A6" zoomScale="89" workbookViewId="0">
      <selection activeCell="P18" sqref="P18"/>
    </sheetView>
  </sheetViews>
  <sheetFormatPr baseColWidth="10" defaultColWidth="11.44140625" defaultRowHeight="14.4"/>
  <cols>
    <col min="2" max="4" width="2.77734375" customWidth="1"/>
    <col min="5" max="5" width="3.88671875" bestFit="1" customWidth="1"/>
    <col min="6" max="6" width="20.77734375" customWidth="1"/>
    <col min="7" max="9" width="2.77734375" customWidth="1"/>
    <col min="10" max="10" width="3.88671875" bestFit="1" customWidth="1"/>
    <col min="11" max="11" width="20.77734375" customWidth="1"/>
  </cols>
  <sheetData>
    <row r="1" spans="1:11" ht="15" thickBot="1">
      <c r="A1" s="150"/>
      <c r="B1" s="150"/>
      <c r="C1" s="150"/>
      <c r="D1" s="150"/>
      <c r="E1" s="150"/>
      <c r="F1" s="150"/>
      <c r="G1" s="150"/>
      <c r="H1" s="150"/>
    </row>
    <row r="2" spans="1:11" ht="19.95" customHeight="1" thickBot="1">
      <c r="A2" s="150"/>
      <c r="B2" s="183" t="s">
        <v>179</v>
      </c>
      <c r="C2" s="184"/>
      <c r="D2" s="184"/>
      <c r="E2" s="184"/>
      <c r="F2" s="184"/>
      <c r="G2" s="184"/>
      <c r="H2" s="184"/>
      <c r="I2" s="184"/>
      <c r="J2" s="184"/>
      <c r="K2" s="185"/>
    </row>
    <row r="3" spans="1:11" ht="19.95" customHeight="1" thickBot="1">
      <c r="A3" s="150"/>
      <c r="B3" s="239" t="s">
        <v>111</v>
      </c>
      <c r="C3" s="240"/>
      <c r="D3" s="240"/>
      <c r="E3" s="240"/>
      <c r="F3" s="240"/>
      <c r="G3" s="240"/>
      <c r="H3" s="240"/>
      <c r="I3" s="240"/>
      <c r="J3" s="240"/>
      <c r="K3" s="241"/>
    </row>
    <row r="4" spans="1:11" ht="19.95" customHeight="1" thickBot="1">
      <c r="A4" s="150"/>
      <c r="B4" s="236" t="s">
        <v>1</v>
      </c>
      <c r="C4" s="237"/>
      <c r="D4" s="238"/>
      <c r="E4" s="181" t="s">
        <v>181</v>
      </c>
      <c r="F4" s="129" t="s">
        <v>180</v>
      </c>
      <c r="G4" s="236" t="s">
        <v>1</v>
      </c>
      <c r="H4" s="237"/>
      <c r="I4" s="238"/>
      <c r="J4" s="162" t="s">
        <v>181</v>
      </c>
      <c r="K4" s="129" t="s">
        <v>180</v>
      </c>
    </row>
    <row r="5" spans="1:11" ht="19.95" customHeight="1">
      <c r="A5" s="150"/>
      <c r="B5" s="156" t="s">
        <v>27</v>
      </c>
      <c r="C5" s="160" t="s">
        <v>66</v>
      </c>
      <c r="D5" s="161" t="s">
        <v>66</v>
      </c>
      <c r="E5" s="168">
        <v>1</v>
      </c>
      <c r="F5" s="233" t="s">
        <v>160</v>
      </c>
      <c r="G5" s="234"/>
      <c r="H5" s="234"/>
      <c r="I5" s="234"/>
      <c r="J5" s="234"/>
      <c r="K5" s="235"/>
    </row>
    <row r="6" spans="1:11" ht="19.95" customHeight="1">
      <c r="A6" s="150"/>
      <c r="B6" s="163" t="s">
        <v>66</v>
      </c>
      <c r="C6" s="164" t="s">
        <v>27</v>
      </c>
      <c r="D6" s="165" t="s">
        <v>66</v>
      </c>
      <c r="E6" s="140">
        <v>1</v>
      </c>
      <c r="F6" s="169" t="s">
        <v>185</v>
      </c>
      <c r="G6" s="163" t="s">
        <v>66</v>
      </c>
      <c r="H6" s="164" t="s">
        <v>27</v>
      </c>
      <c r="I6" s="165" t="s">
        <v>66</v>
      </c>
      <c r="J6" s="126">
        <v>1</v>
      </c>
      <c r="K6" s="171" t="s">
        <v>193</v>
      </c>
    </row>
    <row r="7" spans="1:11" ht="19.95" customHeight="1">
      <c r="A7" s="150"/>
      <c r="B7" s="157" t="s">
        <v>66</v>
      </c>
      <c r="C7" s="158" t="s">
        <v>66</v>
      </c>
      <c r="D7" s="146" t="s">
        <v>27</v>
      </c>
      <c r="E7" s="154">
        <v>8</v>
      </c>
      <c r="F7" s="170" t="s">
        <v>183</v>
      </c>
      <c r="G7" s="157" t="s">
        <v>66</v>
      </c>
      <c r="H7" s="158" t="s">
        <v>66</v>
      </c>
      <c r="I7" s="146" t="s">
        <v>27</v>
      </c>
      <c r="J7" s="154">
        <v>1</v>
      </c>
      <c r="K7" s="170" t="s">
        <v>194</v>
      </c>
    </row>
    <row r="8" spans="1:11" ht="19.95" customHeight="1">
      <c r="A8" s="150"/>
      <c r="B8" s="157" t="s">
        <v>66</v>
      </c>
      <c r="C8" s="158" t="s">
        <v>66</v>
      </c>
      <c r="D8" s="146" t="s">
        <v>27</v>
      </c>
      <c r="E8" s="154">
        <v>3</v>
      </c>
      <c r="F8" s="170" t="s">
        <v>184</v>
      </c>
      <c r="G8" s="157" t="s">
        <v>66</v>
      </c>
      <c r="H8" s="158" t="s">
        <v>66</v>
      </c>
      <c r="I8" s="146" t="s">
        <v>27</v>
      </c>
      <c r="J8" s="154">
        <v>1</v>
      </c>
      <c r="K8" s="170" t="s">
        <v>197</v>
      </c>
    </row>
    <row r="9" spans="1:11" ht="19.95" customHeight="1">
      <c r="A9" s="150"/>
      <c r="B9" s="157" t="s">
        <v>66</v>
      </c>
      <c r="C9" s="158" t="s">
        <v>66</v>
      </c>
      <c r="D9" s="146" t="s">
        <v>27</v>
      </c>
      <c r="E9" s="154">
        <v>1</v>
      </c>
      <c r="F9" s="170" t="s">
        <v>186</v>
      </c>
      <c r="G9" s="245" t="s">
        <v>66</v>
      </c>
      <c r="H9" s="246" t="s">
        <v>66</v>
      </c>
      <c r="I9" s="146" t="s">
        <v>27</v>
      </c>
      <c r="J9" s="154">
        <v>1</v>
      </c>
      <c r="K9" s="170" t="s">
        <v>222</v>
      </c>
    </row>
    <row r="10" spans="1:11" ht="19.95" customHeight="1">
      <c r="A10" s="150"/>
      <c r="B10" s="244" t="s">
        <v>66</v>
      </c>
      <c r="C10" s="158" t="s">
        <v>66</v>
      </c>
      <c r="D10" s="146" t="s">
        <v>27</v>
      </c>
      <c r="E10" s="154"/>
      <c r="F10" s="170" t="s">
        <v>216</v>
      </c>
      <c r="G10" s="163" t="s">
        <v>66</v>
      </c>
      <c r="H10" s="164" t="s">
        <v>27</v>
      </c>
      <c r="I10" s="165" t="s">
        <v>66</v>
      </c>
      <c r="J10" s="166">
        <v>1</v>
      </c>
      <c r="K10" s="141" t="s">
        <v>199</v>
      </c>
    </row>
    <row r="11" spans="1:11" ht="19.95" customHeight="1">
      <c r="A11" s="150"/>
      <c r="B11" s="244" t="s">
        <v>66</v>
      </c>
      <c r="C11" s="158" t="s">
        <v>66</v>
      </c>
      <c r="D11" s="146" t="s">
        <v>27</v>
      </c>
      <c r="E11" s="154"/>
      <c r="F11" s="170" t="s">
        <v>217</v>
      </c>
      <c r="G11" s="157" t="s">
        <v>66</v>
      </c>
      <c r="H11" s="158" t="s">
        <v>66</v>
      </c>
      <c r="I11" s="146" t="s">
        <v>27</v>
      </c>
      <c r="J11" s="159">
        <v>4</v>
      </c>
      <c r="K11" s="155" t="s">
        <v>200</v>
      </c>
    </row>
    <row r="12" spans="1:11" ht="19.95" customHeight="1">
      <c r="A12" s="150"/>
      <c r="B12" s="163" t="s">
        <v>66</v>
      </c>
      <c r="C12" s="164" t="s">
        <v>27</v>
      </c>
      <c r="D12" s="165" t="s">
        <v>66</v>
      </c>
      <c r="E12" s="126">
        <v>1</v>
      </c>
      <c r="F12" s="171" t="s">
        <v>187</v>
      </c>
      <c r="G12" s="157" t="s">
        <v>66</v>
      </c>
      <c r="H12" s="158" t="s">
        <v>66</v>
      </c>
      <c r="I12" s="146" t="s">
        <v>27</v>
      </c>
      <c r="J12" s="159">
        <v>1</v>
      </c>
      <c r="K12" s="155" t="s">
        <v>201</v>
      </c>
    </row>
    <row r="13" spans="1:11" ht="19.95" customHeight="1">
      <c r="A13" s="150"/>
      <c r="B13" s="157" t="s">
        <v>66</v>
      </c>
      <c r="C13" s="158" t="s">
        <v>66</v>
      </c>
      <c r="D13" s="146" t="s">
        <v>27</v>
      </c>
      <c r="E13" s="173">
        <v>1</v>
      </c>
      <c r="F13" s="170" t="s">
        <v>188</v>
      </c>
      <c r="G13" s="157" t="s">
        <v>66</v>
      </c>
      <c r="H13" s="158" t="s">
        <v>66</v>
      </c>
      <c r="I13" s="146" t="s">
        <v>27</v>
      </c>
      <c r="J13" s="159">
        <v>1</v>
      </c>
      <c r="K13" s="155" t="s">
        <v>191</v>
      </c>
    </row>
    <row r="14" spans="1:11" ht="19.95" customHeight="1">
      <c r="A14" s="150"/>
      <c r="B14" s="157" t="s">
        <v>66</v>
      </c>
      <c r="C14" s="158" t="s">
        <v>66</v>
      </c>
      <c r="D14" s="146" t="s">
        <v>27</v>
      </c>
      <c r="E14" s="154">
        <v>1</v>
      </c>
      <c r="F14" s="170" t="s">
        <v>218</v>
      </c>
      <c r="G14" s="245" t="s">
        <v>66</v>
      </c>
      <c r="H14" s="246" t="s">
        <v>66</v>
      </c>
      <c r="I14" s="146" t="s">
        <v>27</v>
      </c>
      <c r="J14" s="154"/>
      <c r="K14" s="170" t="s">
        <v>220</v>
      </c>
    </row>
    <row r="15" spans="1:11" ht="19.95" customHeight="1">
      <c r="A15" s="150"/>
      <c r="B15" s="157" t="s">
        <v>66</v>
      </c>
      <c r="C15" s="158" t="s">
        <v>66</v>
      </c>
      <c r="D15" s="146" t="s">
        <v>27</v>
      </c>
      <c r="E15" s="154">
        <v>1</v>
      </c>
      <c r="F15" s="170" t="s">
        <v>189</v>
      </c>
      <c r="G15" s="157" t="s">
        <v>66</v>
      </c>
      <c r="H15" s="158" t="s">
        <v>66</v>
      </c>
      <c r="I15" s="146" t="s">
        <v>27</v>
      </c>
      <c r="J15" s="154">
        <v>1</v>
      </c>
      <c r="K15" s="170" t="s">
        <v>190</v>
      </c>
    </row>
    <row r="16" spans="1:11" ht="19.95" customHeight="1">
      <c r="A16" s="150"/>
      <c r="B16" s="157" t="s">
        <v>66</v>
      </c>
      <c r="C16" s="158" t="s">
        <v>66</v>
      </c>
      <c r="D16" s="146" t="s">
        <v>27</v>
      </c>
      <c r="E16" s="154">
        <v>1</v>
      </c>
      <c r="F16" s="170" t="s">
        <v>219</v>
      </c>
      <c r="G16" s="163" t="s">
        <v>66</v>
      </c>
      <c r="H16" s="164" t="s">
        <v>27</v>
      </c>
      <c r="I16" s="165" t="s">
        <v>66</v>
      </c>
      <c r="J16" s="167">
        <v>1</v>
      </c>
      <c r="K16" s="127" t="s">
        <v>202</v>
      </c>
    </row>
    <row r="17" spans="1:11" ht="19.95" customHeight="1">
      <c r="A17" s="150"/>
      <c r="B17" s="163" t="s">
        <v>66</v>
      </c>
      <c r="C17" s="164" t="s">
        <v>27</v>
      </c>
      <c r="D17" s="165" t="s">
        <v>66</v>
      </c>
      <c r="E17" s="126">
        <v>1</v>
      </c>
      <c r="F17" s="171" t="s">
        <v>192</v>
      </c>
      <c r="G17" s="157" t="s">
        <v>66</v>
      </c>
      <c r="H17" s="158" t="s">
        <v>66</v>
      </c>
      <c r="I17" s="146" t="s">
        <v>27</v>
      </c>
      <c r="J17" s="146">
        <v>4</v>
      </c>
      <c r="K17" s="155" t="s">
        <v>205</v>
      </c>
    </row>
    <row r="18" spans="1:11" ht="19.95" customHeight="1">
      <c r="A18" s="150"/>
      <c r="B18" s="157" t="s">
        <v>66</v>
      </c>
      <c r="C18" s="158" t="s">
        <v>66</v>
      </c>
      <c r="D18" s="146" t="s">
        <v>27</v>
      </c>
      <c r="E18" s="174">
        <v>4</v>
      </c>
      <c r="F18" s="170" t="s">
        <v>182</v>
      </c>
      <c r="G18" s="157" t="s">
        <v>66</v>
      </c>
      <c r="H18" s="158" t="s">
        <v>66</v>
      </c>
      <c r="I18" s="146" t="s">
        <v>27</v>
      </c>
      <c r="J18" s="159">
        <v>1</v>
      </c>
      <c r="K18" s="155" t="s">
        <v>203</v>
      </c>
    </row>
    <row r="19" spans="1:11" ht="19.95" customHeight="1">
      <c r="A19" s="150"/>
      <c r="B19" s="157" t="s">
        <v>66</v>
      </c>
      <c r="C19" s="158" t="s">
        <v>66</v>
      </c>
      <c r="D19" s="146" t="s">
        <v>27</v>
      </c>
      <c r="E19" s="173">
        <v>1</v>
      </c>
      <c r="F19" s="170" t="s">
        <v>191</v>
      </c>
      <c r="G19" s="157" t="s">
        <v>66</v>
      </c>
      <c r="H19" s="158" t="s">
        <v>66</v>
      </c>
      <c r="I19" s="146" t="s">
        <v>27</v>
      </c>
      <c r="J19" s="159">
        <v>1</v>
      </c>
      <c r="K19" s="155" t="s">
        <v>204</v>
      </c>
    </row>
    <row r="20" spans="1:11" ht="19.95" customHeight="1">
      <c r="A20" s="150"/>
      <c r="B20" s="157" t="s">
        <v>66</v>
      </c>
      <c r="C20" s="158" t="s">
        <v>66</v>
      </c>
      <c r="D20" s="146" t="s">
        <v>27</v>
      </c>
      <c r="E20" s="159">
        <v>4</v>
      </c>
      <c r="F20" s="155" t="s">
        <v>209</v>
      </c>
      <c r="G20" s="157" t="s">
        <v>66</v>
      </c>
      <c r="H20" s="158" t="s">
        <v>66</v>
      </c>
      <c r="I20" s="146" t="s">
        <v>27</v>
      </c>
      <c r="J20" s="159">
        <v>1</v>
      </c>
      <c r="K20" s="155" t="s">
        <v>207</v>
      </c>
    </row>
    <row r="21" spans="1:11" ht="19.95" customHeight="1">
      <c r="A21" s="150"/>
      <c r="B21" s="244" t="s">
        <v>66</v>
      </c>
      <c r="C21" s="158" t="s">
        <v>66</v>
      </c>
      <c r="D21" s="146" t="s">
        <v>27</v>
      </c>
      <c r="E21" s="159"/>
      <c r="F21" s="170" t="s">
        <v>220</v>
      </c>
      <c r="G21" s="157" t="s">
        <v>66</v>
      </c>
      <c r="H21" s="158" t="s">
        <v>66</v>
      </c>
      <c r="I21" s="146" t="s">
        <v>27</v>
      </c>
      <c r="J21" s="146">
        <v>2</v>
      </c>
      <c r="K21" s="155" t="s">
        <v>206</v>
      </c>
    </row>
    <row r="22" spans="1:11" ht="19.95" customHeight="1">
      <c r="A22" s="150"/>
      <c r="B22" s="163" t="s">
        <v>66</v>
      </c>
      <c r="C22" s="164" t="s">
        <v>27</v>
      </c>
      <c r="D22" s="165" t="s">
        <v>66</v>
      </c>
      <c r="E22" s="126">
        <v>1</v>
      </c>
      <c r="F22" s="171" t="s">
        <v>195</v>
      </c>
      <c r="G22" s="157" t="s">
        <v>66</v>
      </c>
      <c r="H22" s="158" t="s">
        <v>66</v>
      </c>
      <c r="I22" s="146" t="s">
        <v>27</v>
      </c>
      <c r="J22" s="146">
        <v>1</v>
      </c>
      <c r="K22" s="155" t="s">
        <v>215</v>
      </c>
    </row>
    <row r="23" spans="1:11" ht="19.95" customHeight="1">
      <c r="A23" s="150"/>
      <c r="B23" s="245" t="s">
        <v>66</v>
      </c>
      <c r="C23" s="246" t="s">
        <v>66</v>
      </c>
      <c r="D23" s="146" t="s">
        <v>27</v>
      </c>
      <c r="E23" s="154"/>
      <c r="F23" s="170" t="s">
        <v>220</v>
      </c>
      <c r="G23" s="163" t="s">
        <v>66</v>
      </c>
      <c r="H23" s="164" t="s">
        <v>27</v>
      </c>
      <c r="I23" s="165" t="s">
        <v>66</v>
      </c>
      <c r="J23" s="167">
        <v>1</v>
      </c>
      <c r="K23" s="127" t="s">
        <v>221</v>
      </c>
    </row>
    <row r="24" spans="1:11" ht="19.95" customHeight="1">
      <c r="A24" s="150"/>
      <c r="B24" s="157" t="s">
        <v>66</v>
      </c>
      <c r="C24" s="158" t="s">
        <v>66</v>
      </c>
      <c r="D24" s="146" t="s">
        <v>27</v>
      </c>
      <c r="E24" s="173">
        <v>4</v>
      </c>
      <c r="F24" s="170" t="s">
        <v>196</v>
      </c>
      <c r="G24" s="157" t="s">
        <v>66</v>
      </c>
      <c r="H24" s="158" t="s">
        <v>66</v>
      </c>
      <c r="I24" s="146" t="s">
        <v>27</v>
      </c>
      <c r="J24" s="159">
        <v>1</v>
      </c>
      <c r="K24" s="155" t="s">
        <v>208</v>
      </c>
    </row>
    <row r="25" spans="1:11" ht="19.95" customHeight="1">
      <c r="A25" s="150"/>
      <c r="B25" s="157" t="s">
        <v>66</v>
      </c>
      <c r="C25" s="158" t="s">
        <v>66</v>
      </c>
      <c r="D25" s="146" t="s">
        <v>27</v>
      </c>
      <c r="E25" s="154">
        <v>4</v>
      </c>
      <c r="F25" s="170" t="s">
        <v>197</v>
      </c>
      <c r="G25" s="247" t="s">
        <v>66</v>
      </c>
      <c r="H25" s="248" t="s">
        <v>66</v>
      </c>
      <c r="I25" s="249" t="s">
        <v>66</v>
      </c>
      <c r="J25" s="250">
        <v>1</v>
      </c>
      <c r="K25" s="251" t="s">
        <v>223</v>
      </c>
    </row>
    <row r="26" spans="1:11" ht="19.95" customHeight="1" thickBot="1">
      <c r="A26" s="150"/>
      <c r="B26" s="157" t="s">
        <v>66</v>
      </c>
      <c r="C26" s="158" t="s">
        <v>66</v>
      </c>
      <c r="D26" s="146" t="s">
        <v>27</v>
      </c>
      <c r="E26" s="154">
        <v>1</v>
      </c>
      <c r="F26" s="170" t="s">
        <v>224</v>
      </c>
      <c r="G26" s="175" t="s">
        <v>66</v>
      </c>
      <c r="H26" s="176" t="s">
        <v>66</v>
      </c>
      <c r="I26" s="177" t="s">
        <v>27</v>
      </c>
      <c r="J26" s="182">
        <v>1</v>
      </c>
      <c r="K26" s="180" t="s">
        <v>210</v>
      </c>
    </row>
    <row r="27" spans="1:11" ht="19.95" customHeight="1">
      <c r="A27" s="150"/>
      <c r="B27" s="157" t="s">
        <v>66</v>
      </c>
      <c r="C27" s="158" t="s">
        <v>66</v>
      </c>
      <c r="D27" s="146" t="s">
        <v>27</v>
      </c>
      <c r="E27" s="173">
        <v>1</v>
      </c>
      <c r="F27" s="172" t="s">
        <v>198</v>
      </c>
    </row>
    <row r="28" spans="1:11" ht="19.95" customHeight="1" thickBot="1">
      <c r="A28" s="150"/>
      <c r="B28" s="175" t="s">
        <v>66</v>
      </c>
      <c r="C28" s="176" t="s">
        <v>66</v>
      </c>
      <c r="D28" s="177" t="s">
        <v>27</v>
      </c>
      <c r="E28" s="178">
        <v>1</v>
      </c>
      <c r="F28" s="179" t="s">
        <v>189</v>
      </c>
    </row>
    <row r="29" spans="1:11">
      <c r="A29" s="150"/>
      <c r="B29" s="152"/>
      <c r="C29" s="151"/>
      <c r="D29" s="151"/>
      <c r="E29" s="151"/>
      <c r="F29" s="151"/>
      <c r="G29" s="153"/>
      <c r="H29" s="153"/>
    </row>
    <row r="30" spans="1:11">
      <c r="A30" s="150"/>
      <c r="B30" s="152"/>
      <c r="C30" s="151"/>
      <c r="D30" s="151"/>
      <c r="E30" s="151"/>
      <c r="F30" s="151"/>
      <c r="G30" s="153"/>
      <c r="H30" s="153"/>
    </row>
    <row r="31" spans="1:11">
      <c r="A31" s="150"/>
      <c r="B31" s="152"/>
      <c r="C31" s="151"/>
      <c r="D31" s="151"/>
      <c r="E31" s="151"/>
      <c r="F31" s="151"/>
      <c r="G31" s="153"/>
      <c r="H31" s="153"/>
    </row>
    <row r="32" spans="1:11">
      <c r="A32" s="150"/>
      <c r="B32" s="152"/>
      <c r="C32" s="151"/>
      <c r="D32" s="151"/>
      <c r="E32" s="151"/>
      <c r="F32" s="151"/>
      <c r="G32" s="153"/>
      <c r="H32" s="153"/>
    </row>
    <row r="33" spans="1:8">
      <c r="A33" s="150"/>
      <c r="B33" s="152"/>
      <c r="C33" s="151"/>
      <c r="D33" s="151"/>
      <c r="E33" s="151"/>
      <c r="F33" s="151"/>
      <c r="G33" s="153"/>
      <c r="H33" s="153"/>
    </row>
    <row r="34" spans="1:8">
      <c r="A34" s="150"/>
      <c r="B34" s="152"/>
      <c r="C34" s="151"/>
      <c r="D34" s="151"/>
      <c r="E34" s="151"/>
      <c r="F34" s="151"/>
      <c r="G34" s="153"/>
      <c r="H34" s="153"/>
    </row>
  </sheetData>
  <mergeCells count="5">
    <mergeCell ref="F5:K5"/>
    <mergeCell ref="B4:D4"/>
    <mergeCell ref="G4:I4"/>
    <mergeCell ref="B2:K2"/>
    <mergeCell ref="B3:K3"/>
  </mergeCells>
  <phoneticPr fontId="45" type="noConversion"/>
  <pageMargins left="0.7" right="0.7" top="0.78740157499999996" bottom="0.78740157499999996"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2">
    <tabColor theme="0"/>
  </sheetPr>
  <dimension ref="A1:E34"/>
  <sheetViews>
    <sheetView showGridLines="0" topLeftCell="A7" zoomScale="106" zoomScaleNormal="110" workbookViewId="0">
      <selection activeCell="A5" sqref="A5"/>
    </sheetView>
  </sheetViews>
  <sheetFormatPr baseColWidth="10" defaultColWidth="11.44140625" defaultRowHeight="14.4"/>
  <cols>
    <col min="1" max="1" width="75.6640625" customWidth="1"/>
  </cols>
  <sheetData>
    <row r="1" spans="1:5" ht="21">
      <c r="A1" s="59" t="s">
        <v>40</v>
      </c>
      <c r="C1" s="9"/>
    </row>
    <row r="2" spans="1:5">
      <c r="A2" s="60" t="s">
        <v>41</v>
      </c>
    </row>
    <row r="3" spans="1:5">
      <c r="A3" s="242"/>
      <c r="B3" s="242"/>
      <c r="C3" s="242"/>
    </row>
    <row r="4" spans="1:5">
      <c r="A4" s="10"/>
      <c r="C4" s="11"/>
    </row>
    <row r="5" spans="1:5">
      <c r="A5" s="58" t="s">
        <v>42</v>
      </c>
      <c r="B5" s="56"/>
      <c r="C5" s="56"/>
      <c r="D5" s="57"/>
      <c r="E5" s="57"/>
    </row>
    <row r="6" spans="1:5" ht="81.75" customHeight="1">
      <c r="A6" s="61" t="s">
        <v>43</v>
      </c>
    </row>
    <row r="7" spans="1:5">
      <c r="A7" s="20"/>
      <c r="B7" s="13"/>
    </row>
    <row r="8" spans="1:5">
      <c r="A8" s="58" t="s">
        <v>44</v>
      </c>
      <c r="B8" s="56"/>
      <c r="C8" s="56"/>
      <c r="D8" s="57"/>
      <c r="E8" s="57"/>
    </row>
    <row r="9" spans="1:5" ht="409.5" customHeight="1">
      <c r="A9" s="16"/>
    </row>
    <row r="10" spans="1:5" ht="63.75" customHeight="1">
      <c r="A10" s="61" t="s">
        <v>45</v>
      </c>
    </row>
    <row r="11" spans="1:5">
      <c r="B11" s="13"/>
    </row>
    <row r="12" spans="1:5">
      <c r="A12" s="58" t="s">
        <v>46</v>
      </c>
      <c r="B12" s="56"/>
      <c r="C12" s="56"/>
      <c r="D12" s="57"/>
      <c r="E12" s="57"/>
    </row>
    <row r="13" spans="1:5" ht="121.5" customHeight="1">
      <c r="A13" s="61" t="s">
        <v>47</v>
      </c>
    </row>
    <row r="14" spans="1:5">
      <c r="A14" s="12"/>
    </row>
    <row r="15" spans="1:5">
      <c r="A15" s="58" t="s">
        <v>48</v>
      </c>
      <c r="B15" s="56"/>
      <c r="C15" s="56"/>
      <c r="D15" s="57"/>
      <c r="E15" s="57"/>
    </row>
    <row r="16" spans="1:5" ht="44.25" customHeight="1">
      <c r="A16" s="61" t="s">
        <v>49</v>
      </c>
    </row>
    <row r="17" spans="1:5" ht="15" thickBot="1">
      <c r="A17" s="62"/>
      <c r="B17" s="63"/>
      <c r="C17" s="62"/>
      <c r="D17" s="62"/>
      <c r="E17" s="62"/>
    </row>
    <row r="18" spans="1:5">
      <c r="A18" s="65" t="s">
        <v>50</v>
      </c>
      <c r="B18" s="13"/>
    </row>
    <row r="19" spans="1:5">
      <c r="A19" s="66" t="s">
        <v>51</v>
      </c>
      <c r="B19" s="243"/>
      <c r="C19" s="243"/>
      <c r="D19" s="243"/>
    </row>
    <row r="20" spans="1:5">
      <c r="A20" s="67" t="s">
        <v>52</v>
      </c>
      <c r="B20" s="99"/>
      <c r="C20" s="99"/>
      <c r="D20" s="99"/>
    </row>
    <row r="21" spans="1:5">
      <c r="A21" s="68"/>
      <c r="B21" s="99"/>
      <c r="C21" s="99"/>
      <c r="D21" s="99"/>
    </row>
    <row r="22" spans="1:5">
      <c r="A22" s="69" t="s">
        <v>53</v>
      </c>
      <c r="B22" s="14"/>
    </row>
    <row r="23" spans="1:5">
      <c r="A23" s="69" t="s">
        <v>54</v>
      </c>
      <c r="B23" s="14"/>
    </row>
    <row r="24" spans="1:5">
      <c r="A24" s="69" t="s">
        <v>55</v>
      </c>
      <c r="B24" s="14"/>
    </row>
    <row r="25" spans="1:5">
      <c r="A25" s="69" t="s">
        <v>56</v>
      </c>
      <c r="B25" s="14"/>
    </row>
    <row r="26" spans="1:5">
      <c r="A26" s="69" t="s">
        <v>57</v>
      </c>
      <c r="B26" s="14"/>
      <c r="C26" s="15"/>
    </row>
    <row r="27" spans="1:5">
      <c r="A27" s="69" t="s">
        <v>58</v>
      </c>
    </row>
    <row r="28" spans="1:5">
      <c r="A28" s="69" t="s">
        <v>59</v>
      </c>
    </row>
    <row r="29" spans="1:5">
      <c r="A29" s="69" t="s">
        <v>60</v>
      </c>
    </row>
    <row r="30" spans="1:5">
      <c r="A30" s="69" t="s">
        <v>61</v>
      </c>
    </row>
    <row r="31" spans="1:5">
      <c r="A31" s="69" t="s">
        <v>62</v>
      </c>
    </row>
    <row r="32" spans="1:5">
      <c r="A32" s="70"/>
    </row>
    <row r="33" spans="1:1">
      <c r="A33" s="69" t="s">
        <v>63</v>
      </c>
    </row>
    <row r="34" spans="1:1">
      <c r="A34" s="64"/>
    </row>
  </sheetData>
  <mergeCells count="2">
    <mergeCell ref="A3:C3"/>
    <mergeCell ref="B19:D19"/>
  </mergeCells>
  <hyperlinks>
    <hyperlink ref="A19" r:id="rId1" xr:uid="{00000000-0004-0000-0300-000000000000}"/>
  </hyperlinks>
  <pageMargins left="0.7" right="0.7" top="0.78740157499999996" bottom="0.78740157499999996"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Anforderungsliste</vt:lpstr>
      <vt:lpstr>Projektplan</vt:lpstr>
      <vt:lpstr>Stückliste</vt:lpstr>
      <vt:lpstr>Info</vt:lpstr>
    </vt:vector>
  </TitlesOfParts>
  <Manager/>
  <Company>alle-meine-vorlagen.de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Projektplan</dc:title>
  <dc:subject/>
  <dc:creator>www.alle-meine-vorlagen.de</dc:creator>
  <cp:keywords>Terminplan, Projektplanung</cp:keywords>
  <dc:description>Excel-Vorlage eines Projektplanes.</dc:description>
  <cp:lastModifiedBy>Jiang Qi Qiu</cp:lastModifiedBy>
  <cp:revision/>
  <dcterms:created xsi:type="dcterms:W3CDTF">2016-06-30T18:29:31Z</dcterms:created>
  <dcterms:modified xsi:type="dcterms:W3CDTF">2021-10-10T15:36:00Z</dcterms:modified>
  <cp:category>Projektplanung</cp:category>
  <cp:contentStatus>Version 2.2</cp:contentStatus>
</cp:coreProperties>
</file>